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Projects\BTS_Location_Estimation_C#\"/>
    </mc:Choice>
  </mc:AlternateContent>
  <xr:revisionPtr revIDLastSave="0" documentId="8_{1661531B-C182-4D2B-A7A3-1608F53E3E84}" xr6:coauthVersionLast="47" xr6:coauthVersionMax="47" xr10:uidLastSave="{00000000-0000-0000-0000-000000000000}"/>
  <bookViews>
    <workbookView xWindow="-120" yWindow="-120" windowWidth="29040" windowHeight="17520" xr2:uid="{ACB5BD8F-357C-49C2-8594-AD73DD328FD3}"/>
  </bookViews>
  <sheets>
    <sheet name="ALL_Estimate_mnc_260" sheetId="1" r:id="rId1"/>
  </sheets>
  <definedNames>
    <definedName name="_xlnm._FilterDatabase" localSheetId="0" hidden="1">ALL_Estimate_mnc_260!$A$1:$V$1</definedName>
  </definedNames>
  <calcPr calcId="0"/>
</workbook>
</file>

<file path=xl/calcChain.xml><?xml version="1.0" encoding="utf-8"?>
<calcChain xmlns="http://schemas.openxmlformats.org/spreadsheetml/2006/main">
  <c r="H79" i="1" l="1"/>
  <c r="I79" i="1" s="1"/>
  <c r="H80" i="1"/>
  <c r="I80" i="1" s="1"/>
  <c r="H81" i="1"/>
  <c r="H82" i="1"/>
  <c r="H83" i="1"/>
  <c r="H84" i="1"/>
  <c r="H85" i="1"/>
  <c r="H86" i="1"/>
  <c r="I86" i="1" s="1"/>
  <c r="H87" i="1"/>
  <c r="H88" i="1"/>
  <c r="H89" i="1"/>
  <c r="I89" i="1" s="1"/>
  <c r="H91" i="1"/>
  <c r="I91" i="1" s="1"/>
  <c r="H92" i="1"/>
  <c r="H93" i="1"/>
  <c r="H94" i="1"/>
  <c r="I94" i="1" s="1"/>
  <c r="H95" i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51" i="1"/>
  <c r="I51" i="1" s="1"/>
  <c r="H52" i="1"/>
  <c r="I52" i="1" s="1"/>
  <c r="H90" i="1"/>
  <c r="H67" i="1"/>
  <c r="H68" i="1"/>
  <c r="H73" i="1"/>
  <c r="H74" i="1"/>
  <c r="H41" i="1"/>
  <c r="I41" i="1" s="1"/>
  <c r="H42" i="1"/>
  <c r="I42" i="1" s="1"/>
  <c r="H43" i="1"/>
  <c r="H49" i="1"/>
  <c r="H53" i="1"/>
  <c r="H54" i="1"/>
  <c r="H57" i="1"/>
  <c r="I57" i="1" s="1"/>
  <c r="H58" i="1"/>
  <c r="I58" i="1" s="1"/>
  <c r="H59" i="1"/>
  <c r="I59" i="1" s="1"/>
  <c r="H62" i="1"/>
  <c r="I62" i="1" s="1"/>
  <c r="H64" i="1"/>
  <c r="I64" i="1" s="1"/>
  <c r="H69" i="1"/>
  <c r="I69" i="1" s="1"/>
  <c r="H70" i="1"/>
  <c r="I70" i="1" s="1"/>
  <c r="H72" i="1"/>
  <c r="I72" i="1" s="1"/>
  <c r="H75" i="1"/>
  <c r="I75" i="1" s="1"/>
  <c r="H76" i="1"/>
  <c r="I76" i="1" s="1"/>
  <c r="H44" i="1"/>
  <c r="I44" i="1" s="1"/>
  <c r="H45" i="1"/>
  <c r="I45" i="1" s="1"/>
  <c r="H46" i="1"/>
  <c r="I46" i="1" s="1"/>
  <c r="H47" i="1"/>
  <c r="H48" i="1"/>
  <c r="H50" i="1"/>
  <c r="H55" i="1"/>
  <c r="H56" i="1"/>
  <c r="H60" i="1"/>
  <c r="H61" i="1"/>
  <c r="H63" i="1"/>
  <c r="H65" i="1"/>
  <c r="H71" i="1"/>
  <c r="I71" i="1" s="1"/>
  <c r="H77" i="1"/>
  <c r="I77" i="1" s="1"/>
  <c r="H78" i="1"/>
  <c r="I78" i="1" s="1"/>
  <c r="H96" i="1"/>
  <c r="H97" i="1"/>
  <c r="H98" i="1"/>
  <c r="I98" i="1" s="1"/>
  <c r="H99" i="1"/>
  <c r="I99" i="1" s="1"/>
  <c r="I87" i="1"/>
  <c r="I88" i="1"/>
  <c r="I93" i="1"/>
  <c r="I95" i="1"/>
  <c r="I68" i="1"/>
  <c r="I73" i="1"/>
  <c r="I48" i="1"/>
  <c r="I50" i="1"/>
  <c r="I55" i="1"/>
  <c r="I82" i="1"/>
  <c r="I84" i="1"/>
  <c r="I85" i="1"/>
  <c r="I90" i="1"/>
  <c r="I47" i="1"/>
  <c r="I96" i="1"/>
  <c r="I97" i="1"/>
  <c r="H66" i="1"/>
  <c r="I66" i="1" s="1"/>
  <c r="G66" i="1"/>
  <c r="G79" i="1"/>
  <c r="G80" i="1"/>
  <c r="G81" i="1"/>
  <c r="I81" i="1"/>
  <c r="G82" i="1"/>
  <c r="G83" i="1"/>
  <c r="I83" i="1"/>
  <c r="G84" i="1"/>
  <c r="G85" i="1"/>
  <c r="G86" i="1"/>
  <c r="G87" i="1"/>
  <c r="G88" i="1"/>
  <c r="G89" i="1"/>
  <c r="G91" i="1"/>
  <c r="G92" i="1"/>
  <c r="I92" i="1"/>
  <c r="G93" i="1"/>
  <c r="G94" i="1"/>
  <c r="G95" i="1"/>
  <c r="G32" i="1"/>
  <c r="G33" i="1"/>
  <c r="G34" i="1"/>
  <c r="G35" i="1"/>
  <c r="G36" i="1"/>
  <c r="G37" i="1"/>
  <c r="G38" i="1"/>
  <c r="G39" i="1"/>
  <c r="G40" i="1"/>
  <c r="G51" i="1"/>
  <c r="G52" i="1"/>
  <c r="G90" i="1"/>
  <c r="G67" i="1"/>
  <c r="I67" i="1"/>
  <c r="G68" i="1"/>
  <c r="G73" i="1"/>
  <c r="G74" i="1"/>
  <c r="I74" i="1"/>
  <c r="G41" i="1"/>
  <c r="G42" i="1"/>
  <c r="G43" i="1"/>
  <c r="I43" i="1"/>
  <c r="G49" i="1"/>
  <c r="I49" i="1"/>
  <c r="G53" i="1"/>
  <c r="I53" i="1"/>
  <c r="G54" i="1"/>
  <c r="I54" i="1"/>
  <c r="G57" i="1"/>
  <c r="G58" i="1"/>
  <c r="G59" i="1"/>
  <c r="G62" i="1"/>
  <c r="G64" i="1"/>
  <c r="G69" i="1"/>
  <c r="G70" i="1"/>
  <c r="G72" i="1"/>
  <c r="G75" i="1"/>
  <c r="G76" i="1"/>
  <c r="G44" i="1"/>
  <c r="G45" i="1"/>
  <c r="G46" i="1"/>
  <c r="G47" i="1"/>
  <c r="G48" i="1"/>
  <c r="G50" i="1"/>
  <c r="G55" i="1"/>
  <c r="G56" i="1"/>
  <c r="I56" i="1"/>
  <c r="G60" i="1"/>
  <c r="I60" i="1"/>
  <c r="G61" i="1"/>
  <c r="I61" i="1"/>
  <c r="G63" i="1"/>
  <c r="I63" i="1"/>
  <c r="G65" i="1"/>
  <c r="I65" i="1"/>
  <c r="G71" i="1"/>
  <c r="G77" i="1"/>
  <c r="G78" i="1"/>
  <c r="G96" i="1"/>
  <c r="G97" i="1"/>
  <c r="G98" i="1"/>
  <c r="G99" i="1"/>
  <c r="G4" i="1"/>
  <c r="H4" i="1"/>
  <c r="I4" i="1" s="1"/>
  <c r="G6" i="1"/>
  <c r="H6" i="1"/>
  <c r="I6" i="1" s="1"/>
  <c r="G8" i="1"/>
  <c r="H8" i="1"/>
  <c r="I8" i="1" s="1"/>
  <c r="G9" i="1"/>
  <c r="H9" i="1"/>
  <c r="I9" i="1" s="1"/>
  <c r="G10" i="1"/>
  <c r="H10" i="1"/>
  <c r="I10" i="1"/>
  <c r="G13" i="1"/>
  <c r="H13" i="1"/>
  <c r="I13" i="1" s="1"/>
  <c r="G14" i="1"/>
  <c r="H14" i="1"/>
  <c r="I14" i="1" s="1"/>
  <c r="G23" i="1"/>
  <c r="H23" i="1"/>
  <c r="I23" i="1" s="1"/>
  <c r="G24" i="1"/>
  <c r="H24" i="1"/>
  <c r="I24" i="1" s="1"/>
  <c r="G28" i="1"/>
  <c r="H28" i="1"/>
  <c r="I28" i="1" s="1"/>
  <c r="G25" i="1"/>
  <c r="H25" i="1"/>
  <c r="I25" i="1" s="1"/>
  <c r="G30" i="1"/>
  <c r="H30" i="1"/>
  <c r="I30" i="1"/>
  <c r="G31" i="1"/>
  <c r="H31" i="1"/>
  <c r="I31" i="1" s="1"/>
  <c r="G15" i="1"/>
  <c r="H15" i="1"/>
  <c r="I15" i="1"/>
  <c r="G16" i="1"/>
  <c r="H16" i="1"/>
  <c r="I16" i="1"/>
  <c r="G17" i="1"/>
  <c r="H17" i="1"/>
  <c r="I17" i="1" s="1"/>
  <c r="G18" i="1"/>
  <c r="H18" i="1"/>
  <c r="I18" i="1" s="1"/>
  <c r="G19" i="1"/>
  <c r="H19" i="1"/>
  <c r="I19" i="1" s="1"/>
  <c r="G20" i="1"/>
  <c r="H20" i="1"/>
  <c r="I20" i="1" s="1"/>
  <c r="G22" i="1"/>
  <c r="H22" i="1"/>
  <c r="I22" i="1"/>
  <c r="G3" i="1"/>
  <c r="H3" i="1"/>
  <c r="I3" i="1"/>
  <c r="G5" i="1"/>
  <c r="H5" i="1"/>
  <c r="I5" i="1" s="1"/>
  <c r="G7" i="1"/>
  <c r="H7" i="1"/>
  <c r="I7" i="1" s="1"/>
  <c r="G11" i="1"/>
  <c r="H11" i="1"/>
  <c r="I11" i="1" s="1"/>
  <c r="G12" i="1"/>
  <c r="H12" i="1"/>
  <c r="I12" i="1" s="1"/>
  <c r="G26" i="1"/>
  <c r="H26" i="1"/>
  <c r="I26" i="1" s="1"/>
  <c r="G27" i="1"/>
  <c r="H27" i="1"/>
  <c r="I27" i="1" s="1"/>
  <c r="G29" i="1"/>
  <c r="H29" i="1"/>
  <c r="I29" i="1"/>
  <c r="G21" i="1"/>
  <c r="H21" i="1"/>
  <c r="I21" i="1"/>
  <c r="H2" i="1"/>
  <c r="I2" i="1" s="1"/>
  <c r="G2" i="1"/>
</calcChain>
</file>

<file path=xl/sharedStrings.xml><?xml version="1.0" encoding="utf-8"?>
<sst xmlns="http://schemas.openxmlformats.org/spreadsheetml/2006/main" count="464" uniqueCount="57">
  <si>
    <t>Technology</t>
  </si>
  <si>
    <t>Channel</t>
  </si>
  <si>
    <t>CellId</t>
  </si>
  <si>
    <t>BeamIndex</t>
  </si>
  <si>
    <t>Type</t>
  </si>
  <si>
    <t>cellIdentity</t>
  </si>
  <si>
    <t>mnc</t>
  </si>
  <si>
    <t>mcc</t>
  </si>
  <si>
    <t>xhat1</t>
  </si>
  <si>
    <t>yhat1</t>
  </si>
  <si>
    <t>xhat2</t>
  </si>
  <si>
    <t>yhat2</t>
  </si>
  <si>
    <t>est_Lat1</t>
  </si>
  <si>
    <t>est_Lon1</t>
  </si>
  <si>
    <t>est_Lat2</t>
  </si>
  <si>
    <t>est_Lon2</t>
  </si>
  <si>
    <t>Max_cinr</t>
  </si>
  <si>
    <t>Num_points</t>
  </si>
  <si>
    <t>Confidence</t>
  </si>
  <si>
    <t>LTE</t>
  </si>
  <si>
    <t>Sector</t>
  </si>
  <si>
    <t>High</t>
  </si>
  <si>
    <t>NR</t>
  </si>
  <si>
    <t>260;490</t>
  </si>
  <si>
    <t>310;311</t>
  </si>
  <si>
    <t>LTE/LTE/LTE/LTE/LTE/LTE/LTE/NR/NR/NR/NR/NR/NR/NR/NR/NR/NR/NR/NR/NR/LTE/NR/NR/NR/NR/NR/NR/LTE/NR/NR/LTE/NR/NR/LTE/NR</t>
  </si>
  <si>
    <t>1000/1000/1000/5035/5035/66786/66786/387170/387170/387170/125530/125530/125530/502110/502110/502110/520110/520110/520110/520110/5035/502110/520110/387170/125530/502110/520110/1000/125530/125530/66786/387170/125530/5035/387170</t>
  </si>
  <si>
    <t>196/195/197/74/76/459/460/584/117/562/396/214/731/13/707/426/707/558/628/208/188/889/772/662/459/834/776/389/337/2/213/300/737/433/579</t>
  </si>
  <si>
    <t>///////0/0/0/1/1/1/0/0/0/0/0/0/0//0/0/0/1/0/0//1/1//0/1//0</t>
  </si>
  <si>
    <t>cluster entry</t>
  </si>
  <si>
    <t>11533831/11533832/11533833/36944644/36944646/11533825/11533827/5573505045/5573505046/5573505047/5392265217/5392265218/5392265219/5420224823/5420224824/5420224825/5420224813/5420224814/5420224815/5434884399/36443157/5440647479/5440647469/5605969943/5395136515/5440647481/5440647471/14963211/5395116033/5434888195/37532673/5605969941/5395136513/88524055/5573246997</t>
  </si>
  <si>
    <t>260/260/260/260/260/260/260/260;490/260;490/260;490/260;490/260;490/260;490/260;490/260;490/260;490/260;490/260;490/260;490/260;490/260/260;490/260;490/260;490/260;490/260;490/260;490/260/260;490/260;490/260/260;490/260;490/260/260;490</t>
  </si>
  <si>
    <t>310/310/310/310/310/310/310/310;311/310;311/310;311/310;311/310;311/310;311/310;311/310;311/310;311/310;311/310;311/310;311/310;311/310/310;311/310;311/310;311/310;311/310;311/310;311/310/310;311/310;311/310/310;311/310;311/310/310;311</t>
  </si>
  <si>
    <t>LTE/LTE/LTE/LTE/NR/LTE/NR/NR/NR</t>
  </si>
  <si>
    <t>1000/1000/5035/66786/502110/66786/502110/520110/126510</t>
  </si>
  <si>
    <t>413/21/474/329/85/435/137/300/705</t>
  </si>
  <si>
    <t>////0//0/0/1</t>
  </si>
  <si>
    <t>223996939/223996940/223996950/223996929/5488140601/223996930/5488140600/5488140590/5488136194</t>
  </si>
  <si>
    <t>260/260/260/260/260;490/260/260;490/260;490/260;490</t>
  </si>
  <si>
    <t>310/310/310/310/310;311/310/310;311/310;311/310;311</t>
  </si>
  <si>
    <t>LTE/LTE/LTE/NR/NR/NR/NR/NR/NR/NR</t>
  </si>
  <si>
    <t>1000/5035/66786/387170/126510/126510/502110/502110/520110/520110</t>
  </si>
  <si>
    <t>389/473/311/622/191/691/132/550/277/675</t>
  </si>
  <si>
    <t>///0/1/1/0/0/0/0</t>
  </si>
  <si>
    <t>224497419/224724757/224497409/5595377685/5497360385/5497360386/5497364791/5497364792/5497364781/5497364782</t>
  </si>
  <si>
    <t>260/260/260/260;490/260;490/260;490/260;490/260;490/260;490/260;490</t>
  </si>
  <si>
    <t>310/310/310/310;311/310;311/310;311/310;311/310;311/310;311/310;311</t>
  </si>
  <si>
    <t>LTE/NR/NR/NR</t>
  </si>
  <si>
    <t>5035/387170/502110/520110</t>
  </si>
  <si>
    <t>73/288/815/756</t>
  </si>
  <si>
    <t>/0/0/0</t>
  </si>
  <si>
    <t>227597845/5583106070/5464711479/5464711469</t>
  </si>
  <si>
    <t>260/260;490/260;490/260;490</t>
  </si>
  <si>
    <t>310/310;311/310;311/310;311</t>
  </si>
  <si>
    <t>cellidHex</t>
  </si>
  <si>
    <t>enodebhex</t>
  </si>
  <si>
    <t>enodeb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</si>
</sst>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6608-D9FA-4187-988B-10F6B33E246C}">
  <dimension ref="A1:V99"/>
  <sheetViews>
    <sheetView tabSelected="1" topLeftCell="A7" workbookViewId="0">
      <selection activeCell="A90" sqref="A90:XFD90"/>
    </sheetView>
  </sheetViews>
  <sheetFormatPr defaultRowHeight="15" x14ac:dyDescent="0.25"/>
  <cols>
    <col min="6" max="6" width="13.5703125" customWidth="1"/>
    <col min="8" max="8" width="10.5703125" bestFit="1" customWidth="1"/>
    <col min="9" max="9" width="10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A2" t="s">
        <v>19</v>
      </c>
      <c r="B2">
        <v>1000</v>
      </c>
      <c r="C2">
        <v>9</v>
      </c>
      <c r="E2" t="s">
        <v>20</v>
      </c>
      <c r="F2">
        <v>10291977</v>
      </c>
      <c r="G2" t="str">
        <f>DEC2HEX(F2)</f>
        <v>9D0B09</v>
      </c>
      <c r="H2" t="str">
        <f>DEC2HEX(F2/256)</f>
        <v>9D0B</v>
      </c>
      <c r="I2">
        <f>HEX2DEC(H2)</f>
        <v>40203</v>
      </c>
      <c r="J2">
        <v>260</v>
      </c>
      <c r="K2">
        <v>310</v>
      </c>
      <c r="L2">
        <v>1397.6563000000001</v>
      </c>
      <c r="M2">
        <v>-1190.7361000000001</v>
      </c>
      <c r="N2">
        <v>1997.6563000000001</v>
      </c>
      <c r="O2">
        <v>-1690.7361000000001</v>
      </c>
      <c r="P2">
        <v>39.154617999999999</v>
      </c>
      <c r="Q2">
        <v>-77.223806999999994</v>
      </c>
      <c r="R2">
        <v>39.150118999999997</v>
      </c>
      <c r="S2">
        <v>-77.216843999999995</v>
      </c>
      <c r="T2">
        <v>7.97</v>
      </c>
      <c r="U2">
        <v>11</v>
      </c>
      <c r="V2" t="s">
        <v>21</v>
      </c>
    </row>
    <row r="3" spans="1:22" x14ac:dyDescent="0.25">
      <c r="A3" t="s">
        <v>19</v>
      </c>
      <c r="B3">
        <v>66786</v>
      </c>
      <c r="C3">
        <v>9</v>
      </c>
      <c r="E3" t="s">
        <v>20</v>
      </c>
      <c r="F3">
        <v>10291971</v>
      </c>
      <c r="G3" t="str">
        <f>DEC2HEX(F3)</f>
        <v>9D0B03</v>
      </c>
      <c r="H3" t="str">
        <f>DEC2HEX(F3/256)</f>
        <v>9D0B</v>
      </c>
      <c r="I3">
        <f>HEX2DEC(H3)</f>
        <v>40203</v>
      </c>
      <c r="J3">
        <v>260</v>
      </c>
      <c r="K3">
        <v>310</v>
      </c>
      <c r="L3">
        <v>1755.0894000000001</v>
      </c>
      <c r="M3">
        <v>-1621.2550000000001</v>
      </c>
      <c r="N3">
        <v>1855.0894000000001</v>
      </c>
      <c r="O3">
        <v>-1721.2550000000001</v>
      </c>
      <c r="P3">
        <v>39.150551999999998</v>
      </c>
      <c r="Q3">
        <v>-77.219438999999994</v>
      </c>
      <c r="R3">
        <v>39.149653000000001</v>
      </c>
      <c r="S3">
        <v>-77.218278999999995</v>
      </c>
      <c r="T3">
        <v>7.57</v>
      </c>
      <c r="U3">
        <v>12</v>
      </c>
      <c r="V3" t="s">
        <v>21</v>
      </c>
    </row>
    <row r="4" spans="1:22" x14ac:dyDescent="0.25">
      <c r="A4" t="s">
        <v>19</v>
      </c>
      <c r="B4">
        <v>1000</v>
      </c>
      <c r="C4">
        <v>113</v>
      </c>
      <c r="E4" t="s">
        <v>20</v>
      </c>
      <c r="F4">
        <v>10348807</v>
      </c>
      <c r="G4" t="str">
        <f>DEC2HEX(F4)</f>
        <v>9DE907</v>
      </c>
      <c r="H4" t="str">
        <f>DEC2HEX(F4/256)</f>
        <v>9DE9</v>
      </c>
      <c r="I4">
        <f>HEX2DEC(H4)</f>
        <v>40425</v>
      </c>
      <c r="J4">
        <v>260</v>
      </c>
      <c r="K4">
        <v>310</v>
      </c>
      <c r="L4">
        <v>203.13939999999999</v>
      </c>
      <c r="M4">
        <v>-1398.9921999999999</v>
      </c>
      <c r="N4">
        <v>303.13940000000002</v>
      </c>
      <c r="O4">
        <v>-1998.9921999999999</v>
      </c>
      <c r="P4">
        <v>39.046004000000003</v>
      </c>
      <c r="Q4">
        <v>-77.123402999999996</v>
      </c>
      <c r="R4">
        <v>39.040605999999997</v>
      </c>
      <c r="S4">
        <v>-77.122243999999995</v>
      </c>
      <c r="T4">
        <v>13.37</v>
      </c>
      <c r="U4">
        <v>5</v>
      </c>
      <c r="V4" t="s">
        <v>21</v>
      </c>
    </row>
    <row r="5" spans="1:22" x14ac:dyDescent="0.25">
      <c r="A5" t="s">
        <v>19</v>
      </c>
      <c r="B5">
        <v>66786</v>
      </c>
      <c r="C5">
        <v>209</v>
      </c>
      <c r="E5" t="s">
        <v>20</v>
      </c>
      <c r="F5">
        <v>11339779</v>
      </c>
      <c r="G5" t="str">
        <f>DEC2HEX(F5)</f>
        <v>AD0803</v>
      </c>
      <c r="H5" t="str">
        <f>DEC2HEX(F5/256)</f>
        <v>AD08</v>
      </c>
      <c r="I5">
        <f>HEX2DEC(H5)</f>
        <v>44296</v>
      </c>
      <c r="J5">
        <v>260</v>
      </c>
      <c r="K5">
        <v>310</v>
      </c>
      <c r="L5">
        <v>-281.85419999999999</v>
      </c>
      <c r="M5">
        <v>-996.95370000000003</v>
      </c>
      <c r="N5">
        <v>118.14579999999999</v>
      </c>
      <c r="O5">
        <v>-896.95370000000003</v>
      </c>
      <c r="P5">
        <v>39.045149000000002</v>
      </c>
      <c r="Q5">
        <v>-77.141609000000003</v>
      </c>
      <c r="R5">
        <v>39.046047999999999</v>
      </c>
      <c r="S5">
        <v>-77.136973999999995</v>
      </c>
      <c r="T5">
        <v>13.3</v>
      </c>
      <c r="U5">
        <v>5</v>
      </c>
      <c r="V5" t="s">
        <v>21</v>
      </c>
    </row>
    <row r="6" spans="1:22" x14ac:dyDescent="0.25">
      <c r="A6" t="s">
        <v>19</v>
      </c>
      <c r="B6">
        <v>1000</v>
      </c>
      <c r="C6">
        <v>27</v>
      </c>
      <c r="E6" t="s">
        <v>20</v>
      </c>
      <c r="F6">
        <v>11419912</v>
      </c>
      <c r="G6" t="str">
        <f>DEC2HEX(F6)</f>
        <v>AE4108</v>
      </c>
      <c r="H6" t="str">
        <f>DEC2HEX(F6/256)</f>
        <v>AE41</v>
      </c>
      <c r="I6">
        <f>HEX2DEC(H6)</f>
        <v>44609</v>
      </c>
      <c r="J6">
        <v>260</v>
      </c>
      <c r="K6">
        <v>310</v>
      </c>
      <c r="L6">
        <v>1413.8771999999999</v>
      </c>
      <c r="M6">
        <v>1349.1577</v>
      </c>
      <c r="N6">
        <v>813.87720000000002</v>
      </c>
      <c r="O6">
        <v>1949.1577</v>
      </c>
      <c r="P6">
        <v>39.085019000000003</v>
      </c>
      <c r="Q6">
        <v>-77.115576000000004</v>
      </c>
      <c r="R6">
        <v>39.090418</v>
      </c>
      <c r="S6">
        <v>-77.122529999999998</v>
      </c>
      <c r="T6">
        <v>10.71</v>
      </c>
      <c r="U6">
        <v>8</v>
      </c>
      <c r="V6" t="s">
        <v>21</v>
      </c>
    </row>
    <row r="7" spans="1:22" x14ac:dyDescent="0.25">
      <c r="A7" t="s">
        <v>19</v>
      </c>
      <c r="B7">
        <v>66786</v>
      </c>
      <c r="C7">
        <v>473</v>
      </c>
      <c r="E7" t="s">
        <v>20</v>
      </c>
      <c r="F7">
        <v>11419907</v>
      </c>
      <c r="G7" t="str">
        <f>DEC2HEX(F7)</f>
        <v>AE4103</v>
      </c>
      <c r="H7" t="str">
        <f>DEC2HEX(F7/256)</f>
        <v>AE41</v>
      </c>
      <c r="I7">
        <f>HEX2DEC(H7)</f>
        <v>44609</v>
      </c>
      <c r="J7">
        <v>260</v>
      </c>
      <c r="K7">
        <v>310</v>
      </c>
      <c r="L7">
        <v>405.62279999999998</v>
      </c>
      <c r="M7">
        <v>376.10629999999998</v>
      </c>
      <c r="N7">
        <v>505.62279999999998</v>
      </c>
      <c r="O7">
        <v>476.10629999999998</v>
      </c>
      <c r="P7">
        <v>39.073659999999997</v>
      </c>
      <c r="Q7">
        <v>-77.136116999999999</v>
      </c>
      <c r="R7">
        <v>39.074559999999998</v>
      </c>
      <c r="S7">
        <v>-77.134957999999997</v>
      </c>
      <c r="T7">
        <v>20.38</v>
      </c>
      <c r="U7">
        <v>5</v>
      </c>
      <c r="V7" t="s">
        <v>21</v>
      </c>
    </row>
    <row r="8" spans="1:22" s="1" customFormat="1" x14ac:dyDescent="0.25">
      <c r="A8" s="1" t="s">
        <v>19</v>
      </c>
      <c r="B8" s="1">
        <v>1000</v>
      </c>
      <c r="C8" s="1">
        <v>196</v>
      </c>
      <c r="E8" s="1" t="s">
        <v>20</v>
      </c>
      <c r="F8" s="1">
        <v>11533831</v>
      </c>
      <c r="G8" s="1" t="str">
        <f>DEC2HEX(F8)</f>
        <v>AFFE07</v>
      </c>
      <c r="H8" s="1" t="str">
        <f>DEC2HEX(F8/256)</f>
        <v>AFFE</v>
      </c>
      <c r="I8" s="1">
        <f>HEX2DEC(H8)</f>
        <v>45054</v>
      </c>
      <c r="J8" s="1">
        <v>260</v>
      </c>
      <c r="K8" s="1">
        <v>310</v>
      </c>
      <c r="L8" s="1">
        <v>150.8509</v>
      </c>
      <c r="M8" s="1">
        <v>-190.68039999999999</v>
      </c>
      <c r="N8" s="1">
        <v>50.850900000000003</v>
      </c>
      <c r="O8" s="1">
        <v>-190.68039999999999</v>
      </c>
      <c r="P8" s="1">
        <v>39.063422000000003</v>
      </c>
      <c r="Q8" s="1">
        <v>-77.120588999999995</v>
      </c>
      <c r="R8" s="1">
        <v>39.063422000000003</v>
      </c>
      <c r="S8" s="1">
        <v>-77.121747999999997</v>
      </c>
      <c r="T8" s="1">
        <v>18</v>
      </c>
      <c r="U8" s="1">
        <v>6</v>
      </c>
      <c r="V8" s="1" t="s">
        <v>21</v>
      </c>
    </row>
    <row r="9" spans="1:22" s="1" customFormat="1" x14ac:dyDescent="0.25">
      <c r="A9" s="1" t="s">
        <v>19</v>
      </c>
      <c r="B9" s="1">
        <v>1000</v>
      </c>
      <c r="C9" s="1">
        <v>195</v>
      </c>
      <c r="E9" s="1" t="s">
        <v>20</v>
      </c>
      <c r="F9" s="1">
        <v>11533832</v>
      </c>
      <c r="G9" s="1" t="str">
        <f>DEC2HEX(F9)</f>
        <v>AFFE08</v>
      </c>
      <c r="H9" s="1" t="str">
        <f>DEC2HEX(F9/256)</f>
        <v>AFFE</v>
      </c>
      <c r="I9" s="1">
        <f>HEX2DEC(H9)</f>
        <v>45054</v>
      </c>
      <c r="J9" s="1">
        <v>260</v>
      </c>
      <c r="K9" s="1">
        <v>310</v>
      </c>
      <c r="L9" s="1">
        <v>-4.1943999999999999</v>
      </c>
      <c r="M9" s="1">
        <v>-289.06889999999999</v>
      </c>
      <c r="N9" s="1">
        <v>-4.1943999999999999</v>
      </c>
      <c r="O9" s="1">
        <v>-289.06889999999999</v>
      </c>
      <c r="P9" s="1">
        <v>39.061275999999999</v>
      </c>
      <c r="Q9" s="1">
        <v>-77.12124</v>
      </c>
      <c r="R9" s="1">
        <v>39.061275999999999</v>
      </c>
      <c r="S9" s="1">
        <v>-77.12124</v>
      </c>
      <c r="T9" s="1">
        <v>9.6300000000000008</v>
      </c>
      <c r="U9" s="1">
        <v>9</v>
      </c>
      <c r="V9" s="1" t="s">
        <v>21</v>
      </c>
    </row>
    <row r="10" spans="1:22" s="1" customFormat="1" x14ac:dyDescent="0.25">
      <c r="A10" s="1" t="s">
        <v>19</v>
      </c>
      <c r="B10" s="1">
        <v>1000</v>
      </c>
      <c r="C10" s="1">
        <v>197</v>
      </c>
      <c r="E10" s="1" t="s">
        <v>20</v>
      </c>
      <c r="F10" s="1">
        <v>11533833</v>
      </c>
      <c r="G10" s="1" t="str">
        <f>DEC2HEX(F10)</f>
        <v>AFFE09</v>
      </c>
      <c r="H10" s="1" t="str">
        <f>DEC2HEX(F10/256)</f>
        <v>AFFE</v>
      </c>
      <c r="I10" s="1">
        <f>HEX2DEC(H10)</f>
        <v>45054</v>
      </c>
      <c r="J10" s="1">
        <v>260</v>
      </c>
      <c r="K10" s="1">
        <v>310</v>
      </c>
      <c r="L10" s="1">
        <v>93.512500000000003</v>
      </c>
      <c r="M10" s="1">
        <v>324.90690000000001</v>
      </c>
      <c r="N10" s="1">
        <v>93.512500000000003</v>
      </c>
      <c r="O10" s="1">
        <v>324.90690000000001</v>
      </c>
      <c r="P10" s="1">
        <v>39.061602999999998</v>
      </c>
      <c r="Q10" s="1">
        <v>-77.123490000000004</v>
      </c>
      <c r="R10" s="1">
        <v>39.061602999999998</v>
      </c>
      <c r="S10" s="1">
        <v>-77.123490000000004</v>
      </c>
      <c r="T10" s="1">
        <v>11.16</v>
      </c>
      <c r="U10" s="1">
        <v>7</v>
      </c>
      <c r="V10" s="1" t="s">
        <v>21</v>
      </c>
    </row>
    <row r="11" spans="1:22" s="1" customFormat="1" x14ac:dyDescent="0.25">
      <c r="A11" s="1" t="s">
        <v>19</v>
      </c>
      <c r="B11" s="1">
        <v>66786</v>
      </c>
      <c r="C11" s="1">
        <v>459</v>
      </c>
      <c r="E11" s="1" t="s">
        <v>20</v>
      </c>
      <c r="F11" s="1">
        <v>11533825</v>
      </c>
      <c r="G11" s="1" t="str">
        <f>DEC2HEX(F11)</f>
        <v>AFFE01</v>
      </c>
      <c r="H11" s="1" t="str">
        <f>DEC2HEX(F11/256)</f>
        <v>AFFE</v>
      </c>
      <c r="I11" s="1">
        <f>HEX2DEC(H11)</f>
        <v>45054</v>
      </c>
      <c r="J11" s="1">
        <v>260</v>
      </c>
      <c r="K11" s="1">
        <v>310</v>
      </c>
      <c r="L11" s="1">
        <v>8.3803999999999998</v>
      </c>
      <c r="M11" s="1">
        <v>-344.52659999999997</v>
      </c>
      <c r="N11" s="1">
        <v>8.3803999999999998</v>
      </c>
      <c r="O11" s="1">
        <v>-344.52659999999997</v>
      </c>
      <c r="P11" s="1">
        <v>39.062299000000003</v>
      </c>
      <c r="Q11" s="1">
        <v>-77.122763000000006</v>
      </c>
      <c r="R11" s="1">
        <v>39.062299000000003</v>
      </c>
      <c r="S11" s="1">
        <v>-77.122763000000006</v>
      </c>
      <c r="T11" s="1">
        <v>13.77</v>
      </c>
      <c r="U11" s="1">
        <v>7</v>
      </c>
      <c r="V11" s="1" t="s">
        <v>21</v>
      </c>
    </row>
    <row r="12" spans="1:22" s="1" customFormat="1" x14ac:dyDescent="0.25">
      <c r="A12" s="1" t="s">
        <v>19</v>
      </c>
      <c r="B12" s="1">
        <v>66786</v>
      </c>
      <c r="C12" s="1">
        <v>460</v>
      </c>
      <c r="E12" s="1" t="s">
        <v>20</v>
      </c>
      <c r="F12" s="1">
        <v>11533827</v>
      </c>
      <c r="G12" s="1" t="str">
        <f>DEC2HEX(F12)</f>
        <v>AFFE03</v>
      </c>
      <c r="H12" s="1" t="str">
        <f>DEC2HEX(F12/256)</f>
        <v>AFFE</v>
      </c>
      <c r="I12" s="1">
        <f>HEX2DEC(H12)</f>
        <v>45054</v>
      </c>
      <c r="J12" s="1">
        <v>260</v>
      </c>
      <c r="K12" s="1">
        <v>310</v>
      </c>
      <c r="L12" s="1">
        <v>388.32159999999999</v>
      </c>
      <c r="M12" s="1">
        <v>83.635199999999998</v>
      </c>
      <c r="N12" s="1">
        <v>388.32159999999999</v>
      </c>
      <c r="O12" s="1">
        <v>83.635199999999998</v>
      </c>
      <c r="P12" s="1">
        <v>39.061889000000001</v>
      </c>
      <c r="Q12" s="1">
        <v>-77.123558000000003</v>
      </c>
      <c r="R12" s="1">
        <v>39.061889000000001</v>
      </c>
      <c r="S12" s="1">
        <v>-77.123558000000003</v>
      </c>
      <c r="T12" s="1">
        <v>10.66</v>
      </c>
      <c r="U12" s="1">
        <v>6</v>
      </c>
      <c r="V12" s="1" t="s">
        <v>21</v>
      </c>
    </row>
    <row r="13" spans="1:22" x14ac:dyDescent="0.25">
      <c r="A13" t="s">
        <v>19</v>
      </c>
      <c r="B13">
        <v>1000</v>
      </c>
      <c r="C13">
        <v>92</v>
      </c>
      <c r="E13" t="s">
        <v>20</v>
      </c>
      <c r="F13">
        <v>11544328</v>
      </c>
      <c r="G13" t="str">
        <f>DEC2HEX(F13)</f>
        <v>B02708</v>
      </c>
      <c r="H13" t="str">
        <f>DEC2HEX(F13/256)</f>
        <v>B027</v>
      </c>
      <c r="I13">
        <f>HEX2DEC(H13)</f>
        <v>45095</v>
      </c>
      <c r="J13">
        <v>260</v>
      </c>
      <c r="K13">
        <v>310</v>
      </c>
      <c r="L13">
        <v>10223.8446</v>
      </c>
      <c r="M13">
        <v>-8856.3835999999992</v>
      </c>
      <c r="N13">
        <v>9623.8446000000004</v>
      </c>
      <c r="O13">
        <v>-8256.3835999999992</v>
      </c>
      <c r="P13">
        <v>39.117016</v>
      </c>
      <c r="Q13">
        <v>-77.143932000000007</v>
      </c>
      <c r="R13">
        <v>39.122413999999999</v>
      </c>
      <c r="S13">
        <v>-77.150898999999995</v>
      </c>
      <c r="T13">
        <v>5.32</v>
      </c>
      <c r="U13">
        <v>11</v>
      </c>
      <c r="V13" t="s">
        <v>21</v>
      </c>
    </row>
    <row r="14" spans="1:22" x14ac:dyDescent="0.25">
      <c r="A14" t="s">
        <v>19</v>
      </c>
      <c r="B14">
        <v>1000</v>
      </c>
      <c r="C14">
        <v>389</v>
      </c>
      <c r="E14" t="s">
        <v>20</v>
      </c>
      <c r="F14">
        <v>14963211</v>
      </c>
      <c r="G14" t="str">
        <f>DEC2HEX(F14)</f>
        <v>E4520B</v>
      </c>
      <c r="H14" t="str">
        <f>DEC2HEX(F14/256)</f>
        <v>E452</v>
      </c>
      <c r="I14">
        <f>HEX2DEC(H14)</f>
        <v>58450</v>
      </c>
      <c r="J14">
        <v>260</v>
      </c>
      <c r="K14">
        <v>310</v>
      </c>
      <c r="L14">
        <v>44.540900000000001</v>
      </c>
      <c r="M14">
        <v>-475.17110000000002</v>
      </c>
      <c r="N14">
        <v>-55.459099999999999</v>
      </c>
      <c r="O14">
        <v>-575.17110000000002</v>
      </c>
      <c r="P14">
        <v>39.054628999999998</v>
      </c>
      <c r="Q14">
        <v>-77.118081000000004</v>
      </c>
      <c r="R14">
        <v>39.053728999999997</v>
      </c>
      <c r="S14">
        <v>-77.119240000000005</v>
      </c>
      <c r="T14">
        <v>10.45</v>
      </c>
      <c r="U14">
        <v>5</v>
      </c>
      <c r="V14" t="s">
        <v>21</v>
      </c>
    </row>
    <row r="15" spans="1:22" x14ac:dyDescent="0.25">
      <c r="A15" t="s">
        <v>19</v>
      </c>
      <c r="B15">
        <v>5035</v>
      </c>
      <c r="C15">
        <v>188</v>
      </c>
      <c r="E15" t="s">
        <v>20</v>
      </c>
      <c r="F15">
        <v>36443157</v>
      </c>
      <c r="G15" t="str">
        <f>DEC2HEX(F15)</f>
        <v>22C1415</v>
      </c>
      <c r="H15" t="str">
        <f>DEC2HEX(F15/256)</f>
        <v>22C14</v>
      </c>
      <c r="I15">
        <f>HEX2DEC(H15)</f>
        <v>142356</v>
      </c>
      <c r="J15">
        <v>260</v>
      </c>
      <c r="K15">
        <v>310</v>
      </c>
      <c r="L15">
        <v>-13.0806</v>
      </c>
      <c r="M15">
        <v>-424.03230000000002</v>
      </c>
      <c r="N15">
        <v>-113.0806</v>
      </c>
      <c r="O15">
        <v>-524.03229999999996</v>
      </c>
      <c r="P15">
        <v>39.055318</v>
      </c>
      <c r="Q15">
        <v>-77.118262999999999</v>
      </c>
      <c r="R15">
        <v>39.054417999999998</v>
      </c>
      <c r="S15">
        <v>-77.119421000000003</v>
      </c>
      <c r="T15">
        <v>15.41</v>
      </c>
      <c r="U15">
        <v>4</v>
      </c>
      <c r="V15" t="s">
        <v>21</v>
      </c>
    </row>
    <row r="16" spans="1:22" x14ac:dyDescent="0.25">
      <c r="A16" t="s">
        <v>19</v>
      </c>
      <c r="B16">
        <v>5035</v>
      </c>
      <c r="C16">
        <v>20</v>
      </c>
      <c r="E16" t="s">
        <v>20</v>
      </c>
      <c r="F16">
        <v>36839685</v>
      </c>
      <c r="G16" t="str">
        <f>DEC2HEX(F16)</f>
        <v>2322105</v>
      </c>
      <c r="H16" t="str">
        <f>DEC2HEX(F16/256)</f>
        <v>23221</v>
      </c>
      <c r="I16">
        <f>HEX2DEC(H16)</f>
        <v>143905</v>
      </c>
      <c r="J16">
        <v>260</v>
      </c>
      <c r="K16">
        <v>310</v>
      </c>
      <c r="L16">
        <v>3946.5219000000002</v>
      </c>
      <c r="M16">
        <v>3562.2552999999998</v>
      </c>
      <c r="N16">
        <v>3346.5219000000002</v>
      </c>
      <c r="O16">
        <v>4162.2552999999998</v>
      </c>
      <c r="P16">
        <v>39.106596000000003</v>
      </c>
      <c r="Q16">
        <v>-77.088119000000006</v>
      </c>
      <c r="R16">
        <v>39.111995</v>
      </c>
      <c r="S16">
        <v>-77.095072999999999</v>
      </c>
      <c r="T16">
        <v>10.130000000000001</v>
      </c>
      <c r="U16">
        <v>9</v>
      </c>
      <c r="V16" t="s">
        <v>21</v>
      </c>
    </row>
    <row r="17" spans="1:22" x14ac:dyDescent="0.25">
      <c r="A17" t="s">
        <v>19</v>
      </c>
      <c r="B17">
        <v>5035</v>
      </c>
      <c r="C17">
        <v>18</v>
      </c>
      <c r="E17" t="s">
        <v>20</v>
      </c>
      <c r="F17">
        <v>36839686</v>
      </c>
      <c r="G17" t="str">
        <f>DEC2HEX(F17)</f>
        <v>2322106</v>
      </c>
      <c r="H17" t="str">
        <f>DEC2HEX(F17/256)</f>
        <v>23221</v>
      </c>
      <c r="I17">
        <f>HEX2DEC(H17)</f>
        <v>143905</v>
      </c>
      <c r="J17">
        <v>260</v>
      </c>
      <c r="K17">
        <v>310</v>
      </c>
      <c r="L17">
        <v>479.78960000000001</v>
      </c>
      <c r="M17">
        <v>-49.111400000000003</v>
      </c>
      <c r="N17">
        <v>479.78960000000001</v>
      </c>
      <c r="O17">
        <v>450.8886</v>
      </c>
      <c r="P17">
        <v>39.070238000000003</v>
      </c>
      <c r="Q17">
        <v>-77.134642999999997</v>
      </c>
      <c r="R17">
        <v>39.074736999999999</v>
      </c>
      <c r="S17">
        <v>-77.134642999999997</v>
      </c>
      <c r="T17">
        <v>17.04</v>
      </c>
      <c r="U17">
        <v>5</v>
      </c>
      <c r="V17" t="s">
        <v>21</v>
      </c>
    </row>
    <row r="18" spans="1:22" x14ac:dyDescent="0.25">
      <c r="A18" t="s">
        <v>19</v>
      </c>
      <c r="B18">
        <v>5035</v>
      </c>
      <c r="C18">
        <v>74</v>
      </c>
      <c r="E18" t="s">
        <v>20</v>
      </c>
      <c r="F18">
        <v>36944644</v>
      </c>
      <c r="G18" t="str">
        <f>DEC2HEX(F18)</f>
        <v>233BB04</v>
      </c>
      <c r="H18" t="str">
        <f>DEC2HEX(F18/256)</f>
        <v>233BB</v>
      </c>
      <c r="I18">
        <f>HEX2DEC(H18)</f>
        <v>144315</v>
      </c>
      <c r="J18">
        <v>260</v>
      </c>
      <c r="K18">
        <v>310</v>
      </c>
      <c r="L18">
        <v>-33.492899999999999</v>
      </c>
      <c r="M18">
        <v>-457.62</v>
      </c>
      <c r="N18">
        <v>-33.492899999999999</v>
      </c>
      <c r="O18">
        <v>-357.62</v>
      </c>
      <c r="P18">
        <v>39.061304</v>
      </c>
      <c r="Q18">
        <v>-77.123311999999999</v>
      </c>
      <c r="R18">
        <v>39.062204000000001</v>
      </c>
      <c r="S18">
        <v>-77.123311999999999</v>
      </c>
      <c r="T18">
        <v>13.43</v>
      </c>
      <c r="U18">
        <v>7</v>
      </c>
      <c r="V18" t="s">
        <v>21</v>
      </c>
    </row>
    <row r="19" spans="1:22" x14ac:dyDescent="0.25">
      <c r="A19" t="s">
        <v>19</v>
      </c>
      <c r="B19">
        <v>5035</v>
      </c>
      <c r="C19">
        <v>76</v>
      </c>
      <c r="E19" t="s">
        <v>20</v>
      </c>
      <c r="F19">
        <v>36944646</v>
      </c>
      <c r="G19" t="str">
        <f>DEC2HEX(F19)</f>
        <v>233BB06</v>
      </c>
      <c r="H19" t="str">
        <f>DEC2HEX(F19/256)</f>
        <v>233BB</v>
      </c>
      <c r="I19">
        <f>HEX2DEC(H19)</f>
        <v>144315</v>
      </c>
      <c r="J19">
        <v>260</v>
      </c>
      <c r="K19">
        <v>310</v>
      </c>
      <c r="L19">
        <v>116.19459999999999</v>
      </c>
      <c r="M19">
        <v>146.20310000000001</v>
      </c>
      <c r="N19">
        <v>416.19459999999998</v>
      </c>
      <c r="O19">
        <v>246.20310000000001</v>
      </c>
      <c r="P19">
        <v>39.061337999999999</v>
      </c>
      <c r="Q19">
        <v>-77.125804000000002</v>
      </c>
      <c r="R19">
        <v>39.062238000000001</v>
      </c>
      <c r="S19">
        <v>-77.122326999999999</v>
      </c>
      <c r="T19">
        <v>12.24</v>
      </c>
      <c r="U19">
        <v>8</v>
      </c>
      <c r="V19" t="s">
        <v>21</v>
      </c>
    </row>
    <row r="20" spans="1:22" x14ac:dyDescent="0.25">
      <c r="A20" t="s">
        <v>19</v>
      </c>
      <c r="B20">
        <v>5035</v>
      </c>
      <c r="C20">
        <v>361</v>
      </c>
      <c r="E20" t="s">
        <v>20</v>
      </c>
      <c r="F20">
        <v>36958981</v>
      </c>
      <c r="G20" t="str">
        <f>DEC2HEX(F20)</f>
        <v>233F305</v>
      </c>
      <c r="H20" t="str">
        <f>DEC2HEX(F20/256)</f>
        <v>233F3</v>
      </c>
      <c r="I20">
        <f>HEX2DEC(H20)</f>
        <v>144371</v>
      </c>
      <c r="J20">
        <v>260</v>
      </c>
      <c r="K20">
        <v>310</v>
      </c>
      <c r="L20">
        <v>447.00029999999998</v>
      </c>
      <c r="M20">
        <v>5049.3711999999996</v>
      </c>
      <c r="N20">
        <v>-152.99969999999999</v>
      </c>
      <c r="O20">
        <v>4849.3711999999996</v>
      </c>
      <c r="P20">
        <v>39.101013999999999</v>
      </c>
      <c r="Q20">
        <v>-77.143991</v>
      </c>
      <c r="R20">
        <v>39.099214000000003</v>
      </c>
      <c r="S20">
        <v>-77.150942999999998</v>
      </c>
      <c r="T20">
        <v>11.46</v>
      </c>
      <c r="U20">
        <v>7</v>
      </c>
      <c r="V20" t="s">
        <v>21</v>
      </c>
    </row>
    <row r="21" spans="1:22" x14ac:dyDescent="0.25">
      <c r="A21" t="s">
        <v>19</v>
      </c>
      <c r="B21">
        <v>66786</v>
      </c>
      <c r="C21">
        <v>213</v>
      </c>
      <c r="E21" t="s">
        <v>20</v>
      </c>
      <c r="F21">
        <v>37532673</v>
      </c>
      <c r="G21" t="str">
        <f>DEC2HEX(F21)</f>
        <v>23CB401</v>
      </c>
      <c r="H21" t="str">
        <f>DEC2HEX(F21/256)</f>
        <v>23CB4</v>
      </c>
      <c r="I21">
        <f>HEX2DEC(H21)</f>
        <v>146612</v>
      </c>
      <c r="J21">
        <v>260</v>
      </c>
      <c r="K21">
        <v>310</v>
      </c>
      <c r="L21">
        <v>-122.8965</v>
      </c>
      <c r="M21">
        <v>-886.69680000000005</v>
      </c>
      <c r="N21">
        <v>-22.8965</v>
      </c>
      <c r="O21">
        <v>-1386.6967999999999</v>
      </c>
      <c r="P21">
        <v>39.056953999999998</v>
      </c>
      <c r="Q21">
        <v>-77.119938000000005</v>
      </c>
      <c r="R21">
        <v>39.052455000000002</v>
      </c>
      <c r="S21">
        <v>-77.118779000000004</v>
      </c>
      <c r="T21">
        <v>8.57</v>
      </c>
      <c r="U21">
        <v>14</v>
      </c>
      <c r="V21" t="s">
        <v>21</v>
      </c>
    </row>
    <row r="22" spans="1:22" x14ac:dyDescent="0.25">
      <c r="A22" t="s">
        <v>19</v>
      </c>
      <c r="B22">
        <v>5035</v>
      </c>
      <c r="C22">
        <v>433</v>
      </c>
      <c r="E22" t="s">
        <v>20</v>
      </c>
      <c r="F22">
        <v>88524055</v>
      </c>
      <c r="G22" t="str">
        <f>DEC2HEX(F22)</f>
        <v>546C517</v>
      </c>
      <c r="H22" t="str">
        <f>DEC2HEX(F22/256)</f>
        <v>546C5</v>
      </c>
      <c r="I22">
        <f>HEX2DEC(H22)</f>
        <v>345797</v>
      </c>
      <c r="J22">
        <v>260</v>
      </c>
      <c r="K22">
        <v>310</v>
      </c>
      <c r="L22">
        <v>-121.60850000000001</v>
      </c>
      <c r="M22">
        <v>-209.5351</v>
      </c>
      <c r="N22">
        <v>478.39150000000001</v>
      </c>
      <c r="O22">
        <v>-9.5350999999999999</v>
      </c>
      <c r="P22">
        <v>39.052563999999997</v>
      </c>
      <c r="Q22">
        <v>-77.141786999999994</v>
      </c>
      <c r="R22">
        <v>39.054363000000002</v>
      </c>
      <c r="S22">
        <v>-77.134834999999995</v>
      </c>
      <c r="T22">
        <v>10.66</v>
      </c>
      <c r="U22">
        <v>5</v>
      </c>
      <c r="V22" t="s">
        <v>21</v>
      </c>
    </row>
    <row r="23" spans="1:22" s="1" customFormat="1" x14ac:dyDescent="0.25">
      <c r="A23" s="1" t="s">
        <v>19</v>
      </c>
      <c r="B23" s="1">
        <v>1000</v>
      </c>
      <c r="C23" s="1">
        <v>413</v>
      </c>
      <c r="E23" s="1" t="s">
        <v>20</v>
      </c>
      <c r="F23" s="1">
        <v>223996939</v>
      </c>
      <c r="G23" s="1" t="str">
        <f>DEC2HEX(F23)</f>
        <v>D59EC0B</v>
      </c>
      <c r="H23" s="1" t="str">
        <f>DEC2HEX(F23/256)</f>
        <v>D59EC</v>
      </c>
      <c r="I23" s="1">
        <f>HEX2DEC(H23)</f>
        <v>874988</v>
      </c>
      <c r="J23" s="1">
        <v>260</v>
      </c>
      <c r="K23" s="1">
        <v>310</v>
      </c>
      <c r="L23" s="1">
        <v>-541.00660000000005</v>
      </c>
      <c r="M23" s="1">
        <v>-719.52340000000004</v>
      </c>
      <c r="N23" s="1">
        <v>58.993400000000001</v>
      </c>
      <c r="O23" s="1">
        <v>-1319.5234</v>
      </c>
      <c r="P23" s="1">
        <v>39.216006999999998</v>
      </c>
      <c r="Q23" s="1">
        <v>-77.286528000000004</v>
      </c>
      <c r="R23" s="1">
        <v>39.210608000000001</v>
      </c>
      <c r="S23" s="1">
        <v>-77.279559000000006</v>
      </c>
      <c r="T23" s="1">
        <v>13.75</v>
      </c>
      <c r="U23" s="1">
        <v>8</v>
      </c>
      <c r="V23" s="1" t="s">
        <v>21</v>
      </c>
    </row>
    <row r="24" spans="1:22" s="1" customFormat="1" x14ac:dyDescent="0.25">
      <c r="A24" s="1" t="s">
        <v>19</v>
      </c>
      <c r="B24" s="1">
        <v>1000</v>
      </c>
      <c r="C24" s="1">
        <v>21</v>
      </c>
      <c r="E24" s="1" t="s">
        <v>20</v>
      </c>
      <c r="F24" s="1">
        <v>223996940</v>
      </c>
      <c r="G24" s="1" t="str">
        <f>DEC2HEX(F24)</f>
        <v>D59EC0C</v>
      </c>
      <c r="H24" s="1" t="str">
        <f>DEC2HEX(F24/256)</f>
        <v>D59EC</v>
      </c>
      <c r="I24" s="1">
        <f>HEX2DEC(H24)</f>
        <v>874988</v>
      </c>
      <c r="J24" s="1">
        <v>260</v>
      </c>
      <c r="K24" s="1">
        <v>310</v>
      </c>
      <c r="L24" s="1">
        <v>539.19470000000001</v>
      </c>
      <c r="M24" s="1">
        <v>-80.155699999999996</v>
      </c>
      <c r="N24" s="1">
        <v>39.194699999999997</v>
      </c>
      <c r="O24" s="1">
        <v>419.84429999999998</v>
      </c>
      <c r="P24" s="1">
        <v>39.208393999999998</v>
      </c>
      <c r="Q24" s="1">
        <v>-77.268968999999998</v>
      </c>
      <c r="R24" s="1">
        <v>39.212893000000001</v>
      </c>
      <c r="S24" s="1">
        <v>-77.274775000000005</v>
      </c>
      <c r="T24" s="1">
        <v>13.85</v>
      </c>
      <c r="U24" s="1">
        <v>8</v>
      </c>
      <c r="V24" s="1" t="s">
        <v>21</v>
      </c>
    </row>
    <row r="25" spans="1:22" s="1" customFormat="1" x14ac:dyDescent="0.25">
      <c r="A25" s="1" t="s">
        <v>19</v>
      </c>
      <c r="B25" s="1">
        <v>5035</v>
      </c>
      <c r="C25" s="1">
        <v>474</v>
      </c>
      <c r="E25" s="1" t="s">
        <v>20</v>
      </c>
      <c r="F25" s="1">
        <v>223996950</v>
      </c>
      <c r="G25" s="1" t="str">
        <f>DEC2HEX(F25)</f>
        <v>D59EC16</v>
      </c>
      <c r="H25" s="1" t="str">
        <f>DEC2HEX(F25/256)</f>
        <v>D59EC</v>
      </c>
      <c r="I25" s="1">
        <f>HEX2DEC(H25)</f>
        <v>874988</v>
      </c>
      <c r="J25" s="1">
        <v>260</v>
      </c>
      <c r="K25" s="1">
        <v>310</v>
      </c>
      <c r="L25" s="1">
        <v>744.29039999999998</v>
      </c>
      <c r="M25" s="1">
        <v>-156.81989999999999</v>
      </c>
      <c r="N25" s="1">
        <v>144.29040000000001</v>
      </c>
      <c r="O25" s="1">
        <v>443.18009999999998</v>
      </c>
      <c r="P25" s="1">
        <v>39.208340999999997</v>
      </c>
      <c r="Q25" s="1">
        <v>-77.266963000000004</v>
      </c>
      <c r="R25" s="1">
        <v>39.213740000000001</v>
      </c>
      <c r="S25" s="1">
        <v>-77.273929999999993</v>
      </c>
      <c r="T25" s="1">
        <v>11.3</v>
      </c>
      <c r="U25" s="1">
        <v>7</v>
      </c>
      <c r="V25" s="1" t="s">
        <v>21</v>
      </c>
    </row>
    <row r="26" spans="1:22" s="1" customFormat="1" x14ac:dyDescent="0.25">
      <c r="A26" s="1" t="s">
        <v>19</v>
      </c>
      <c r="B26" s="1">
        <v>66786</v>
      </c>
      <c r="C26" s="1">
        <v>329</v>
      </c>
      <c r="E26" s="1" t="s">
        <v>20</v>
      </c>
      <c r="F26" s="1">
        <v>223996929</v>
      </c>
      <c r="G26" s="2" t="str">
        <f>DEC2HEX(F26)</f>
        <v>D59EC01</v>
      </c>
      <c r="H26" s="1" t="str">
        <f>DEC2HEX(F26/256)</f>
        <v>D59EC</v>
      </c>
      <c r="I26" s="1">
        <f>HEX2DEC(H26)</f>
        <v>874988</v>
      </c>
      <c r="J26" s="1">
        <v>260</v>
      </c>
      <c r="K26" s="1">
        <v>310</v>
      </c>
      <c r="L26" s="1">
        <v>854.65589999999997</v>
      </c>
      <c r="M26" s="1">
        <v>-1978.4287999999999</v>
      </c>
      <c r="N26" s="1">
        <v>754.65589999999997</v>
      </c>
      <c r="O26" s="1">
        <v>-1978.4287999999999</v>
      </c>
      <c r="P26" s="1">
        <v>39.212885</v>
      </c>
      <c r="Q26" s="1">
        <v>-77.274478000000002</v>
      </c>
      <c r="R26" s="1">
        <v>39.212885</v>
      </c>
      <c r="S26" s="1">
        <v>-77.275639999999996</v>
      </c>
      <c r="T26" s="1">
        <v>11.59</v>
      </c>
      <c r="U26" s="1">
        <v>11</v>
      </c>
      <c r="V26" s="1" t="s">
        <v>21</v>
      </c>
    </row>
    <row r="27" spans="1:22" s="1" customFormat="1" x14ac:dyDescent="0.25">
      <c r="A27" s="1" t="s">
        <v>19</v>
      </c>
      <c r="B27" s="1">
        <v>66786</v>
      </c>
      <c r="C27" s="1">
        <v>435</v>
      </c>
      <c r="E27" s="1" t="s">
        <v>20</v>
      </c>
      <c r="F27" s="1">
        <v>223996930</v>
      </c>
      <c r="G27" s="1" t="str">
        <f>DEC2HEX(F27)</f>
        <v>D59EC02</v>
      </c>
      <c r="H27" s="1" t="str">
        <f>DEC2HEX(F27/256)</f>
        <v>D59EC</v>
      </c>
      <c r="I27" s="1">
        <f>HEX2DEC(H27)</f>
        <v>874988</v>
      </c>
      <c r="J27" s="1">
        <v>260</v>
      </c>
      <c r="K27" s="1">
        <v>310</v>
      </c>
      <c r="L27" s="1">
        <v>974.95100000000002</v>
      </c>
      <c r="M27" s="1">
        <v>-663.81119999999999</v>
      </c>
      <c r="N27" s="1">
        <v>374.95100000000002</v>
      </c>
      <c r="O27" s="1">
        <v>-63.811199999999999</v>
      </c>
      <c r="P27" s="1">
        <v>39.203353</v>
      </c>
      <c r="Q27" s="1">
        <v>-77.264037000000002</v>
      </c>
      <c r="R27" s="1">
        <v>39.208751999999997</v>
      </c>
      <c r="S27" s="1">
        <v>-77.271004000000005</v>
      </c>
      <c r="T27" s="1">
        <v>11.1</v>
      </c>
      <c r="U27" s="1">
        <v>9</v>
      </c>
      <c r="V27" s="1" t="s">
        <v>21</v>
      </c>
    </row>
    <row r="28" spans="1:22" x14ac:dyDescent="0.25">
      <c r="A28" t="s">
        <v>19</v>
      </c>
      <c r="B28">
        <v>1000</v>
      </c>
      <c r="C28">
        <v>389</v>
      </c>
      <c r="E28" t="s">
        <v>20</v>
      </c>
      <c r="F28">
        <v>224497419</v>
      </c>
      <c r="G28" t="str">
        <f>DEC2HEX(F28)</f>
        <v>D618F0B</v>
      </c>
      <c r="H28" t="str">
        <f>DEC2HEX(F28/256)</f>
        <v>D618F</v>
      </c>
      <c r="I28">
        <f>HEX2DEC(H28)</f>
        <v>876943</v>
      </c>
      <c r="J28">
        <v>260</v>
      </c>
      <c r="K28">
        <v>310</v>
      </c>
      <c r="L28">
        <v>-415.00170000000003</v>
      </c>
      <c r="M28">
        <v>-126.08</v>
      </c>
      <c r="N28">
        <v>-415.00170000000003</v>
      </c>
      <c r="O28">
        <v>-126.08</v>
      </c>
      <c r="P28">
        <v>39.230449999999998</v>
      </c>
      <c r="Q28">
        <v>-77.285615000000007</v>
      </c>
      <c r="R28">
        <v>39.230449999999998</v>
      </c>
      <c r="S28">
        <v>-77.285615000000007</v>
      </c>
      <c r="T28">
        <v>18.3</v>
      </c>
      <c r="U28">
        <v>9</v>
      </c>
      <c r="V28" t="s">
        <v>21</v>
      </c>
    </row>
    <row r="29" spans="1:22" x14ac:dyDescent="0.25">
      <c r="A29" t="s">
        <v>19</v>
      </c>
      <c r="B29">
        <v>66786</v>
      </c>
      <c r="C29">
        <v>311</v>
      </c>
      <c r="E29" t="s">
        <v>20</v>
      </c>
      <c r="F29">
        <v>224497409</v>
      </c>
      <c r="G29" t="str">
        <f>DEC2HEX(F29)</f>
        <v>D618F01</v>
      </c>
      <c r="H29" t="str">
        <f>DEC2HEX(F29/256)</f>
        <v>D618F</v>
      </c>
      <c r="I29">
        <f>HEX2DEC(H29)</f>
        <v>876943</v>
      </c>
      <c r="J29">
        <v>260</v>
      </c>
      <c r="K29">
        <v>310</v>
      </c>
      <c r="L29">
        <v>-416.92009999999999</v>
      </c>
      <c r="M29">
        <v>-146.6114</v>
      </c>
      <c r="N29">
        <v>-416.92009999999999</v>
      </c>
      <c r="O29">
        <v>-146.6114</v>
      </c>
      <c r="P29">
        <v>39.230260999999999</v>
      </c>
      <c r="Q29">
        <v>-77.285628000000003</v>
      </c>
      <c r="R29">
        <v>39.230260999999999</v>
      </c>
      <c r="S29">
        <v>-77.285628000000003</v>
      </c>
      <c r="T29">
        <v>17.760000000000002</v>
      </c>
      <c r="U29">
        <v>8</v>
      </c>
      <c r="V29" t="s">
        <v>21</v>
      </c>
    </row>
    <row r="30" spans="1:22" x14ac:dyDescent="0.25">
      <c r="A30" t="s">
        <v>19</v>
      </c>
      <c r="B30">
        <v>5035</v>
      </c>
      <c r="C30">
        <v>473</v>
      </c>
      <c r="E30" t="s">
        <v>20</v>
      </c>
      <c r="F30">
        <v>224724757</v>
      </c>
      <c r="G30" t="str">
        <f>DEC2HEX(F30)</f>
        <v>D650715</v>
      </c>
      <c r="H30" t="str">
        <f>DEC2HEX(F30/256)</f>
        <v>D6507</v>
      </c>
      <c r="I30">
        <f>HEX2DEC(H30)</f>
        <v>877831</v>
      </c>
      <c r="J30">
        <v>260</v>
      </c>
      <c r="K30">
        <v>310</v>
      </c>
      <c r="L30">
        <v>-432.13299999999998</v>
      </c>
      <c r="M30">
        <v>-128.52680000000001</v>
      </c>
      <c r="N30">
        <v>-432.13299999999998</v>
      </c>
      <c r="O30">
        <v>-128.52680000000001</v>
      </c>
      <c r="P30">
        <v>39.230418999999998</v>
      </c>
      <c r="Q30">
        <v>-77.285824000000005</v>
      </c>
      <c r="R30">
        <v>39.230418999999998</v>
      </c>
      <c r="S30">
        <v>-77.285824000000005</v>
      </c>
      <c r="T30">
        <v>14.54</v>
      </c>
      <c r="U30">
        <v>9</v>
      </c>
      <c r="V30" t="s">
        <v>21</v>
      </c>
    </row>
    <row r="31" spans="1:22" x14ac:dyDescent="0.25">
      <c r="A31" t="s">
        <v>19</v>
      </c>
      <c r="B31">
        <v>5035</v>
      </c>
      <c r="C31">
        <v>73</v>
      </c>
      <c r="E31" t="s">
        <v>20</v>
      </c>
      <c r="F31">
        <v>227597845</v>
      </c>
      <c r="G31" t="str">
        <f>DEC2HEX(F31)</f>
        <v>D90DE15</v>
      </c>
      <c r="H31" t="str">
        <f>DEC2HEX(F31/256)</f>
        <v>D90DE</v>
      </c>
      <c r="I31">
        <f>HEX2DEC(H31)</f>
        <v>889054</v>
      </c>
      <c r="J31">
        <v>260</v>
      </c>
      <c r="K31">
        <v>310</v>
      </c>
      <c r="L31">
        <v>-259.52510000000001</v>
      </c>
      <c r="M31">
        <v>-758.97829999999999</v>
      </c>
      <c r="N31">
        <v>-259.52510000000001</v>
      </c>
      <c r="O31">
        <v>-858.97829999999999</v>
      </c>
      <c r="P31">
        <v>39.041041999999997</v>
      </c>
      <c r="Q31">
        <v>-77.165158000000005</v>
      </c>
      <c r="R31">
        <v>39.040142000000003</v>
      </c>
      <c r="S31">
        <v>-77.165158000000005</v>
      </c>
      <c r="T31">
        <v>10.53</v>
      </c>
      <c r="U31">
        <v>6</v>
      </c>
      <c r="V31" t="s">
        <v>21</v>
      </c>
    </row>
    <row r="32" spans="1:22" x14ac:dyDescent="0.25">
      <c r="A32" t="s">
        <v>22</v>
      </c>
      <c r="B32">
        <v>125530</v>
      </c>
      <c r="C32">
        <v>396</v>
      </c>
      <c r="D32">
        <v>1</v>
      </c>
      <c r="E32" t="s">
        <v>20</v>
      </c>
      <c r="F32">
        <v>5392265217</v>
      </c>
      <c r="G32" t="str">
        <f>DEC2HEX(F32)</f>
        <v>141677001</v>
      </c>
      <c r="H32" t="str">
        <f>DEC2HEX(F32/64)</f>
        <v>5059DC0</v>
      </c>
      <c r="I32">
        <f>HEX2DEC(H32)</f>
        <v>84254144</v>
      </c>
      <c r="J32" t="s">
        <v>23</v>
      </c>
      <c r="K32" t="s">
        <v>24</v>
      </c>
      <c r="L32">
        <v>259.84039999999999</v>
      </c>
      <c r="M32">
        <v>-208.5814</v>
      </c>
      <c r="N32">
        <v>259.84039999999999</v>
      </c>
      <c r="O32">
        <v>-208.5814</v>
      </c>
      <c r="P32">
        <v>39.063260999999997</v>
      </c>
      <c r="Q32">
        <v>-77.119326000000001</v>
      </c>
      <c r="R32">
        <v>39.063260999999997</v>
      </c>
      <c r="S32">
        <v>-77.119326000000001</v>
      </c>
      <c r="T32">
        <v>12.94</v>
      </c>
      <c r="U32">
        <v>9</v>
      </c>
      <c r="V32" t="s">
        <v>21</v>
      </c>
    </row>
    <row r="33" spans="1:22" x14ac:dyDescent="0.25">
      <c r="A33" t="s">
        <v>22</v>
      </c>
      <c r="B33">
        <v>125530</v>
      </c>
      <c r="C33">
        <v>214</v>
      </c>
      <c r="D33">
        <v>1</v>
      </c>
      <c r="E33" t="s">
        <v>20</v>
      </c>
      <c r="F33">
        <v>5392265218</v>
      </c>
      <c r="G33" t="str">
        <f>DEC2HEX(F33)</f>
        <v>141677002</v>
      </c>
      <c r="H33" t="str">
        <f>DEC2HEX(F33/64)</f>
        <v>5059DC0</v>
      </c>
      <c r="I33">
        <f>HEX2DEC(H33)</f>
        <v>84254144</v>
      </c>
      <c r="J33" t="s">
        <v>23</v>
      </c>
      <c r="K33" t="s">
        <v>24</v>
      </c>
      <c r="L33">
        <v>-30.366599999999998</v>
      </c>
      <c r="M33">
        <v>-202.85720000000001</v>
      </c>
      <c r="N33">
        <v>-30.366599999999998</v>
      </c>
      <c r="O33">
        <v>-302.85719999999998</v>
      </c>
      <c r="P33">
        <v>39.061933000000003</v>
      </c>
      <c r="Q33">
        <v>-77.121374000000003</v>
      </c>
      <c r="R33">
        <v>39.061033000000002</v>
      </c>
      <c r="S33">
        <v>-77.121374000000003</v>
      </c>
      <c r="T33">
        <v>6.97</v>
      </c>
      <c r="U33">
        <v>10</v>
      </c>
      <c r="V33" t="s">
        <v>21</v>
      </c>
    </row>
    <row r="34" spans="1:22" x14ac:dyDescent="0.25">
      <c r="A34" t="s">
        <v>22</v>
      </c>
      <c r="B34">
        <v>125530</v>
      </c>
      <c r="C34">
        <v>731</v>
      </c>
      <c r="D34">
        <v>1</v>
      </c>
      <c r="E34" t="s">
        <v>20</v>
      </c>
      <c r="F34">
        <v>5392265219</v>
      </c>
      <c r="G34" t="str">
        <f>DEC2HEX(F34)</f>
        <v>141677003</v>
      </c>
      <c r="H34" t="str">
        <f>DEC2HEX(F34/64)</f>
        <v>5059DC0</v>
      </c>
      <c r="I34">
        <f>HEX2DEC(H34)</f>
        <v>84254144</v>
      </c>
      <c r="J34" t="s">
        <v>23</v>
      </c>
      <c r="K34" t="s">
        <v>24</v>
      </c>
      <c r="L34">
        <v>83.350999999999999</v>
      </c>
      <c r="M34">
        <v>165.07839999999999</v>
      </c>
      <c r="N34">
        <v>283.351</v>
      </c>
      <c r="O34">
        <v>165.07839999999999</v>
      </c>
      <c r="P34">
        <v>39.062103</v>
      </c>
      <c r="Q34">
        <v>-77.126693000000003</v>
      </c>
      <c r="R34">
        <v>39.062103</v>
      </c>
      <c r="S34">
        <v>-77.124375999999998</v>
      </c>
      <c r="T34">
        <v>13.88</v>
      </c>
      <c r="U34">
        <v>6</v>
      </c>
      <c r="V34" t="s">
        <v>21</v>
      </c>
    </row>
    <row r="35" spans="1:22" x14ac:dyDescent="0.25">
      <c r="A35" t="s">
        <v>22</v>
      </c>
      <c r="B35">
        <v>125530</v>
      </c>
      <c r="C35">
        <v>337</v>
      </c>
      <c r="D35">
        <v>1</v>
      </c>
      <c r="E35" t="s">
        <v>20</v>
      </c>
      <c r="F35">
        <v>5395116033</v>
      </c>
      <c r="G35" t="str">
        <f>DEC2HEX(F35)</f>
        <v>14192F001</v>
      </c>
      <c r="H35" t="str">
        <f>DEC2HEX(F35/64)</f>
        <v>5064BC0</v>
      </c>
      <c r="I35">
        <f>HEX2DEC(H35)</f>
        <v>84298688</v>
      </c>
      <c r="J35" t="s">
        <v>23</v>
      </c>
      <c r="K35" t="s">
        <v>24</v>
      </c>
      <c r="L35">
        <v>422.89620000000002</v>
      </c>
      <c r="M35">
        <v>137.4486</v>
      </c>
      <c r="N35">
        <v>722.89620000000002</v>
      </c>
      <c r="O35">
        <v>-462.5514</v>
      </c>
      <c r="P35">
        <v>39.059838999999997</v>
      </c>
      <c r="Q35">
        <v>-77.120710000000003</v>
      </c>
      <c r="R35">
        <v>39.05444</v>
      </c>
      <c r="S35">
        <v>-77.117232999999999</v>
      </c>
      <c r="T35">
        <v>13.23</v>
      </c>
      <c r="U35">
        <v>6</v>
      </c>
      <c r="V35" t="s">
        <v>21</v>
      </c>
    </row>
    <row r="36" spans="1:22" s="2" customFormat="1" x14ac:dyDescent="0.25">
      <c r="A36" s="2" t="s">
        <v>22</v>
      </c>
      <c r="B36" s="2">
        <v>125530</v>
      </c>
      <c r="C36" s="2">
        <v>737</v>
      </c>
      <c r="D36" s="2">
        <v>1</v>
      </c>
      <c r="E36" s="2" t="s">
        <v>20</v>
      </c>
      <c r="F36" s="2">
        <v>5395136513</v>
      </c>
      <c r="G36" s="2" t="str">
        <f>DEC2HEX(F36)</f>
        <v>141934001</v>
      </c>
      <c r="H36" s="2" t="str">
        <f>DEC2HEX(F36/64)</f>
        <v>5064D00</v>
      </c>
      <c r="I36" s="2">
        <f>HEX2DEC(H36)</f>
        <v>84299008</v>
      </c>
      <c r="J36" s="2" t="s">
        <v>23</v>
      </c>
      <c r="K36" s="2" t="s">
        <v>24</v>
      </c>
      <c r="L36" s="2">
        <v>-458.95639999999997</v>
      </c>
      <c r="M36" s="2">
        <v>-890.43960000000004</v>
      </c>
      <c r="N36" s="2">
        <v>-658.95640000000003</v>
      </c>
      <c r="O36" s="2">
        <v>-1490.4395999999999</v>
      </c>
      <c r="P36" s="2">
        <v>39.055821000000002</v>
      </c>
      <c r="Q36" s="2">
        <v>-77.121994999999998</v>
      </c>
      <c r="R36" s="2">
        <v>39.050421999999998</v>
      </c>
      <c r="S36" s="2">
        <v>-77.124312000000003</v>
      </c>
      <c r="T36" s="2">
        <v>13.73</v>
      </c>
      <c r="U36" s="2">
        <v>9</v>
      </c>
      <c r="V36" s="2" t="s">
        <v>21</v>
      </c>
    </row>
    <row r="37" spans="1:22" s="2" customFormat="1" x14ac:dyDescent="0.25">
      <c r="A37" s="2" t="s">
        <v>22</v>
      </c>
      <c r="B37" s="2">
        <v>125530</v>
      </c>
      <c r="C37" s="2">
        <v>459</v>
      </c>
      <c r="D37" s="2">
        <v>1</v>
      </c>
      <c r="E37" s="2" t="s">
        <v>20</v>
      </c>
      <c r="F37" s="2">
        <v>5395136515</v>
      </c>
      <c r="G37" s="2" t="str">
        <f>DEC2HEX(F37)</f>
        <v>141934003</v>
      </c>
      <c r="H37" s="2" t="str">
        <f>DEC2HEX(F37/64)</f>
        <v>5064D00</v>
      </c>
      <c r="I37" s="2">
        <f>HEX2DEC(H37)</f>
        <v>84299008</v>
      </c>
      <c r="J37" s="2" t="s">
        <v>23</v>
      </c>
      <c r="K37" s="2" t="s">
        <v>24</v>
      </c>
      <c r="L37" s="2">
        <v>-372.9676</v>
      </c>
      <c r="M37" s="2">
        <v>-565.71270000000004</v>
      </c>
      <c r="N37" s="2">
        <v>-272.9676</v>
      </c>
      <c r="O37" s="2">
        <v>-465.71269999999998</v>
      </c>
      <c r="P37" s="2">
        <v>39.053598999999998</v>
      </c>
      <c r="Q37" s="2">
        <v>-77.128776999999999</v>
      </c>
      <c r="R37" s="2">
        <v>39.054499</v>
      </c>
      <c r="S37" s="2">
        <v>-77.127617999999998</v>
      </c>
      <c r="T37" s="2">
        <v>4.88</v>
      </c>
      <c r="U37" s="2">
        <v>11</v>
      </c>
      <c r="V37" s="2" t="s">
        <v>21</v>
      </c>
    </row>
    <row r="38" spans="1:22" s="3" customFormat="1" x14ac:dyDescent="0.25">
      <c r="A38" s="3" t="s">
        <v>22</v>
      </c>
      <c r="B38" s="3">
        <v>125530</v>
      </c>
      <c r="C38" s="3">
        <v>576</v>
      </c>
      <c r="D38" s="3">
        <v>1</v>
      </c>
      <c r="E38" s="3" t="s">
        <v>20</v>
      </c>
      <c r="F38" s="3">
        <v>5413179393</v>
      </c>
      <c r="G38" s="3" t="str">
        <f>DEC2HEX(F38)</f>
        <v>142A69001</v>
      </c>
      <c r="H38" s="3" t="str">
        <f>DEC2HEX(F38/64)</f>
        <v>50A9A40</v>
      </c>
      <c r="I38" s="3">
        <f>HEX2DEC(H38)</f>
        <v>84580928</v>
      </c>
      <c r="J38" s="3" t="s">
        <v>23</v>
      </c>
      <c r="K38" s="3" t="s">
        <v>24</v>
      </c>
      <c r="L38" s="3">
        <v>-1499.9358</v>
      </c>
      <c r="M38" s="3">
        <v>-1337.1899000000001</v>
      </c>
      <c r="N38" s="3">
        <v>-899.93579999999997</v>
      </c>
      <c r="O38" s="3">
        <v>-1937.1899000000001</v>
      </c>
      <c r="P38" s="3">
        <v>39.09451</v>
      </c>
      <c r="Q38" s="3">
        <v>-77.200856999999999</v>
      </c>
      <c r="R38" s="3">
        <v>39.089112</v>
      </c>
      <c r="S38" s="3">
        <v>-77.193899999999999</v>
      </c>
      <c r="T38" s="3">
        <v>13.65</v>
      </c>
      <c r="U38" s="3">
        <v>4</v>
      </c>
      <c r="V38" s="3" t="s">
        <v>21</v>
      </c>
    </row>
    <row r="39" spans="1:22" s="3" customFormat="1" x14ac:dyDescent="0.25">
      <c r="A39" s="3" t="s">
        <v>22</v>
      </c>
      <c r="B39" s="3">
        <v>125530</v>
      </c>
      <c r="C39" s="3">
        <v>118</v>
      </c>
      <c r="D39" s="3">
        <v>1</v>
      </c>
      <c r="E39" s="3" t="s">
        <v>20</v>
      </c>
      <c r="F39" s="3">
        <v>5413179394</v>
      </c>
      <c r="G39" s="3" t="str">
        <f>DEC2HEX(F39)</f>
        <v>142A69002</v>
      </c>
      <c r="H39" s="3" t="str">
        <f>DEC2HEX(F39/64)</f>
        <v>50A9A40</v>
      </c>
      <c r="I39" s="3">
        <f>HEX2DEC(H39)</f>
        <v>84580928</v>
      </c>
      <c r="J39" s="3" t="s">
        <v>23</v>
      </c>
      <c r="K39" s="3" t="s">
        <v>24</v>
      </c>
      <c r="L39" s="3">
        <v>-991.32719999999995</v>
      </c>
      <c r="M39" s="3">
        <v>-1928.2175999999999</v>
      </c>
      <c r="N39" s="3">
        <v>-1591.3271999999999</v>
      </c>
      <c r="O39" s="3">
        <v>-1328.2175999999999</v>
      </c>
      <c r="P39" s="3">
        <v>39.082704999999997</v>
      </c>
      <c r="Q39" s="3">
        <v>-77.190528999999998</v>
      </c>
      <c r="R39" s="3">
        <v>39.088104000000001</v>
      </c>
      <c r="S39" s="3">
        <v>-77.197485</v>
      </c>
      <c r="T39" s="3">
        <v>17.579999999999998</v>
      </c>
      <c r="U39" s="3">
        <v>6</v>
      </c>
      <c r="V39" s="3" t="s">
        <v>21</v>
      </c>
    </row>
    <row r="40" spans="1:22" x14ac:dyDescent="0.25">
      <c r="A40" t="s">
        <v>22</v>
      </c>
      <c r="B40">
        <v>125530</v>
      </c>
      <c r="C40">
        <v>73</v>
      </c>
      <c r="D40">
        <v>1</v>
      </c>
      <c r="E40" t="s">
        <v>20</v>
      </c>
      <c r="F40">
        <v>5415464962</v>
      </c>
      <c r="G40" t="str">
        <f>DEC2HEX(F40)</f>
        <v>142C97002</v>
      </c>
      <c r="H40" t="str">
        <f>DEC2HEX(F40/64)</f>
        <v>50B25C0</v>
      </c>
      <c r="I40">
        <f>HEX2DEC(H40)</f>
        <v>84616640</v>
      </c>
      <c r="J40" t="s">
        <v>23</v>
      </c>
      <c r="K40" t="s">
        <v>24</v>
      </c>
      <c r="L40">
        <v>569.93389999999999</v>
      </c>
      <c r="M40">
        <v>745.10239999999999</v>
      </c>
      <c r="N40">
        <v>969.93389999999999</v>
      </c>
      <c r="O40">
        <v>645.10239999999999</v>
      </c>
      <c r="P40">
        <v>39.075623</v>
      </c>
      <c r="Q40">
        <v>-77.162521999999996</v>
      </c>
      <c r="R40">
        <v>39.074722999999999</v>
      </c>
      <c r="S40">
        <v>-77.157886000000005</v>
      </c>
      <c r="T40">
        <v>4.3899999999999997</v>
      </c>
      <c r="U40">
        <v>11</v>
      </c>
      <c r="V40" t="s">
        <v>21</v>
      </c>
    </row>
    <row r="41" spans="1:22" s="1" customFormat="1" x14ac:dyDescent="0.25">
      <c r="A41" s="1" t="s">
        <v>22</v>
      </c>
      <c r="B41" s="1">
        <v>502110</v>
      </c>
      <c r="C41" s="1">
        <v>13</v>
      </c>
      <c r="D41" s="1">
        <v>0</v>
      </c>
      <c r="E41" s="1" t="s">
        <v>20</v>
      </c>
      <c r="F41" s="1">
        <v>5420224823</v>
      </c>
      <c r="G41" s="1" t="str">
        <f>DEC2HEX(F41)</f>
        <v>143121137</v>
      </c>
      <c r="H41" s="1" t="str">
        <f>DEC2HEX(F41/64)</f>
        <v>50C4844</v>
      </c>
      <c r="I41" s="1">
        <f>HEX2DEC(H41)</f>
        <v>84691012</v>
      </c>
      <c r="J41" s="1" t="s">
        <v>23</v>
      </c>
      <c r="K41" s="1" t="s">
        <v>24</v>
      </c>
      <c r="L41" s="1">
        <v>137.23390000000001</v>
      </c>
      <c r="M41" s="1">
        <v>-256.02629999999999</v>
      </c>
      <c r="N41" s="1">
        <v>137.23390000000001</v>
      </c>
      <c r="O41" s="1">
        <v>-256.02629999999999</v>
      </c>
      <c r="P41" s="1">
        <v>39.063375000000001</v>
      </c>
      <c r="Q41" s="1">
        <v>-77.121865999999997</v>
      </c>
      <c r="R41" s="1">
        <v>39.063375000000001</v>
      </c>
      <c r="S41" s="1">
        <v>-77.121865999999997</v>
      </c>
      <c r="T41" s="1">
        <v>15.89</v>
      </c>
      <c r="U41" s="1">
        <v>7</v>
      </c>
      <c r="V41" s="1" t="s">
        <v>21</v>
      </c>
    </row>
    <row r="42" spans="1:22" s="1" customFormat="1" x14ac:dyDescent="0.25">
      <c r="A42" s="1" t="s">
        <v>22</v>
      </c>
      <c r="B42" s="1">
        <v>502110</v>
      </c>
      <c r="C42" s="1">
        <v>707</v>
      </c>
      <c r="D42" s="1">
        <v>0</v>
      </c>
      <c r="E42" s="1" t="s">
        <v>20</v>
      </c>
      <c r="F42" s="1">
        <v>5420224824</v>
      </c>
      <c r="G42" s="1" t="str">
        <f>DEC2HEX(F42)</f>
        <v>143121138</v>
      </c>
      <c r="H42" s="1" t="str">
        <f>DEC2HEX(F42/64)</f>
        <v>50C4844</v>
      </c>
      <c r="I42" s="1">
        <f>HEX2DEC(H42)</f>
        <v>84691012</v>
      </c>
      <c r="J42" s="1" t="s">
        <v>23</v>
      </c>
      <c r="K42" s="1" t="s">
        <v>24</v>
      </c>
      <c r="L42" s="1">
        <v>70.760099999999994</v>
      </c>
      <c r="M42" s="1">
        <v>-370.16079999999999</v>
      </c>
      <c r="N42" s="1">
        <v>170.76009999999999</v>
      </c>
      <c r="O42" s="1">
        <v>-370.16079999999999</v>
      </c>
      <c r="P42" s="1">
        <v>39.060577000000002</v>
      </c>
      <c r="Q42" s="1">
        <v>-77.120433000000006</v>
      </c>
      <c r="R42" s="1">
        <v>39.060577000000002</v>
      </c>
      <c r="S42" s="1">
        <v>-77.119274000000004</v>
      </c>
      <c r="T42" s="1">
        <v>8.3800000000000008</v>
      </c>
      <c r="U42" s="1">
        <v>11</v>
      </c>
      <c r="V42" s="1" t="s">
        <v>21</v>
      </c>
    </row>
    <row r="43" spans="1:22" s="1" customFormat="1" x14ac:dyDescent="0.25">
      <c r="A43" s="1" t="s">
        <v>22</v>
      </c>
      <c r="B43" s="1">
        <v>502110</v>
      </c>
      <c r="C43" s="1">
        <v>426</v>
      </c>
      <c r="D43" s="1">
        <v>0</v>
      </c>
      <c r="E43" s="1" t="s">
        <v>20</v>
      </c>
      <c r="F43" s="1">
        <v>5420224825</v>
      </c>
      <c r="G43" s="1" t="str">
        <f>DEC2HEX(F43)</f>
        <v>143121139</v>
      </c>
      <c r="H43" s="1" t="str">
        <f>DEC2HEX(F43/64)</f>
        <v>50C4844</v>
      </c>
      <c r="I43" s="1">
        <f>HEX2DEC(H43)</f>
        <v>84691012</v>
      </c>
      <c r="J43" s="1" t="s">
        <v>23</v>
      </c>
      <c r="K43" s="1" t="s">
        <v>24</v>
      </c>
      <c r="L43" s="1">
        <v>163.28970000000001</v>
      </c>
      <c r="M43" s="1">
        <v>69.462400000000002</v>
      </c>
      <c r="N43" s="1">
        <v>363.28969999999998</v>
      </c>
      <c r="O43" s="1">
        <v>-30.537600000000001</v>
      </c>
      <c r="P43" s="1">
        <v>39.061782999999998</v>
      </c>
      <c r="Q43" s="1">
        <v>-77.126186000000004</v>
      </c>
      <c r="R43" s="1">
        <v>39.060882999999997</v>
      </c>
      <c r="S43" s="1">
        <v>-77.123868000000002</v>
      </c>
      <c r="T43" s="1">
        <v>15.83</v>
      </c>
      <c r="U43" s="1">
        <v>5</v>
      </c>
      <c r="V43" s="1" t="s">
        <v>21</v>
      </c>
    </row>
    <row r="44" spans="1:22" s="1" customFormat="1" x14ac:dyDescent="0.25">
      <c r="A44" s="1" t="s">
        <v>22</v>
      </c>
      <c r="B44" s="1">
        <v>520110</v>
      </c>
      <c r="C44" s="1">
        <v>707</v>
      </c>
      <c r="D44" s="1">
        <v>0</v>
      </c>
      <c r="E44" s="1" t="s">
        <v>20</v>
      </c>
      <c r="F44" s="1">
        <v>5420224813</v>
      </c>
      <c r="G44" s="1" t="str">
        <f>DEC2HEX(F44)</f>
        <v>14312112D</v>
      </c>
      <c r="H44" s="1" t="str">
        <f>DEC2HEX(F44/64)</f>
        <v>50C4844</v>
      </c>
      <c r="I44" s="1">
        <f>HEX2DEC(H44)</f>
        <v>84691012</v>
      </c>
      <c r="J44" s="1" t="s">
        <v>23</v>
      </c>
      <c r="K44" s="1" t="s">
        <v>24</v>
      </c>
      <c r="L44" s="1">
        <v>67.699200000000005</v>
      </c>
      <c r="M44" s="1">
        <v>-249.7047</v>
      </c>
      <c r="N44" s="1">
        <v>67.699200000000005</v>
      </c>
      <c r="O44" s="1">
        <v>-249.7047</v>
      </c>
      <c r="P44" s="1">
        <v>39.062961999999999</v>
      </c>
      <c r="Q44" s="1">
        <v>-77.121679999999998</v>
      </c>
      <c r="R44" s="1">
        <v>39.062961999999999</v>
      </c>
      <c r="S44" s="1">
        <v>-77.121679999999998</v>
      </c>
      <c r="T44" s="1">
        <v>15.24</v>
      </c>
      <c r="U44" s="1">
        <v>7</v>
      </c>
      <c r="V44" s="1" t="s">
        <v>21</v>
      </c>
    </row>
    <row r="45" spans="1:22" s="1" customFormat="1" x14ac:dyDescent="0.25">
      <c r="A45" s="1" t="s">
        <v>22</v>
      </c>
      <c r="B45" s="1">
        <v>520110</v>
      </c>
      <c r="C45" s="1">
        <v>558</v>
      </c>
      <c r="D45" s="1">
        <v>0</v>
      </c>
      <c r="E45" s="1" t="s">
        <v>20</v>
      </c>
      <c r="F45" s="1">
        <v>5420224814</v>
      </c>
      <c r="G45" s="1" t="str">
        <f>DEC2HEX(F45)</f>
        <v>14312112E</v>
      </c>
      <c r="H45" s="1" t="str">
        <f>DEC2HEX(F45/64)</f>
        <v>50C4844</v>
      </c>
      <c r="I45" s="1">
        <f>HEX2DEC(H45)</f>
        <v>84691012</v>
      </c>
      <c r="J45" s="1" t="s">
        <v>23</v>
      </c>
      <c r="K45" s="1" t="s">
        <v>24</v>
      </c>
      <c r="L45" s="1">
        <v>46.2851</v>
      </c>
      <c r="M45" s="1">
        <v>-355.43610000000001</v>
      </c>
      <c r="N45" s="1">
        <v>46.2851</v>
      </c>
      <c r="O45" s="1">
        <v>-355.43610000000001</v>
      </c>
      <c r="P45" s="1">
        <v>39.06071</v>
      </c>
      <c r="Q45" s="1">
        <v>-77.120716999999999</v>
      </c>
      <c r="R45" s="1">
        <v>39.06071</v>
      </c>
      <c r="S45" s="1">
        <v>-77.120716999999999</v>
      </c>
      <c r="T45" s="1">
        <v>8.26</v>
      </c>
      <c r="U45" s="1">
        <v>10</v>
      </c>
      <c r="V45" s="1" t="s">
        <v>21</v>
      </c>
    </row>
    <row r="46" spans="1:22" s="1" customFormat="1" x14ac:dyDescent="0.25">
      <c r="A46" s="1" t="s">
        <v>22</v>
      </c>
      <c r="B46" s="1">
        <v>520110</v>
      </c>
      <c r="C46" s="1">
        <v>628</v>
      </c>
      <c r="D46" s="1">
        <v>0</v>
      </c>
      <c r="E46" s="1" t="s">
        <v>20</v>
      </c>
      <c r="F46" s="1">
        <v>5420224815</v>
      </c>
      <c r="G46" s="1" t="str">
        <f>DEC2HEX(F46)</f>
        <v>14312112F</v>
      </c>
      <c r="H46" s="1" t="str">
        <f>DEC2HEX(F46/64)</f>
        <v>50C4844</v>
      </c>
      <c r="I46" s="1">
        <f>HEX2DEC(H46)</f>
        <v>84691012</v>
      </c>
      <c r="J46" s="1" t="s">
        <v>23</v>
      </c>
      <c r="K46" s="1" t="s">
        <v>24</v>
      </c>
      <c r="L46" s="1">
        <v>118.777</v>
      </c>
      <c r="M46" s="1">
        <v>47.170999999999999</v>
      </c>
      <c r="N46" s="1">
        <v>218.77699999999999</v>
      </c>
      <c r="O46" s="1">
        <v>47.170999999999999</v>
      </c>
      <c r="P46" s="1">
        <v>39.061757999999998</v>
      </c>
      <c r="Q46" s="1">
        <v>-77.126849000000007</v>
      </c>
      <c r="R46" s="1">
        <v>39.061757999999998</v>
      </c>
      <c r="S46" s="1">
        <v>-77.125690000000006</v>
      </c>
      <c r="T46" s="1">
        <v>14.72</v>
      </c>
      <c r="U46" s="1">
        <v>7</v>
      </c>
      <c r="V46" s="1" t="s">
        <v>21</v>
      </c>
    </row>
    <row r="47" spans="1:22" x14ac:dyDescent="0.25">
      <c r="A47" t="s">
        <v>22</v>
      </c>
      <c r="B47">
        <v>520110</v>
      </c>
      <c r="C47">
        <v>298</v>
      </c>
      <c r="D47">
        <v>0</v>
      </c>
      <c r="E47" t="s">
        <v>20</v>
      </c>
      <c r="F47">
        <v>5421519150</v>
      </c>
      <c r="G47" t="str">
        <f>DEC2HEX(F47)</f>
        <v>14325D12E</v>
      </c>
      <c r="H47" t="str">
        <f>DEC2HEX(F47/64)</f>
        <v>50C9744</v>
      </c>
      <c r="I47">
        <f>HEX2DEC(H47)</f>
        <v>84711236</v>
      </c>
      <c r="J47" t="s">
        <v>23</v>
      </c>
      <c r="K47" t="s">
        <v>24</v>
      </c>
      <c r="L47">
        <v>3041.1473999999998</v>
      </c>
      <c r="M47">
        <v>19560.007000000001</v>
      </c>
      <c r="N47">
        <v>2441.1473999999998</v>
      </c>
      <c r="O47">
        <v>20160.007000000001</v>
      </c>
      <c r="P47">
        <v>39.231586999999998</v>
      </c>
      <c r="Q47">
        <v>-77.113979999999998</v>
      </c>
      <c r="R47">
        <v>39.236986000000002</v>
      </c>
      <c r="S47">
        <v>-77.120931999999996</v>
      </c>
      <c r="T47">
        <v>14.65</v>
      </c>
      <c r="U47">
        <v>8</v>
      </c>
      <c r="V47" t="s">
        <v>21</v>
      </c>
    </row>
    <row r="48" spans="1:22" x14ac:dyDescent="0.25">
      <c r="A48" t="s">
        <v>22</v>
      </c>
      <c r="B48">
        <v>520110</v>
      </c>
      <c r="C48">
        <v>192</v>
      </c>
      <c r="D48">
        <v>0</v>
      </c>
      <c r="E48" t="s">
        <v>20</v>
      </c>
      <c r="F48">
        <v>5425705264</v>
      </c>
      <c r="G48" t="str">
        <f>DEC2HEX(F48)</f>
        <v>14365B130</v>
      </c>
      <c r="H48" t="str">
        <f>DEC2HEX(F48/64)</f>
        <v>50D96C4</v>
      </c>
      <c r="I48">
        <f>HEX2DEC(H48)</f>
        <v>84776644</v>
      </c>
      <c r="J48" t="s">
        <v>23</v>
      </c>
      <c r="K48" t="s">
        <v>24</v>
      </c>
      <c r="L48">
        <v>1263.952</v>
      </c>
      <c r="M48">
        <v>820.45929999999998</v>
      </c>
      <c r="N48">
        <v>763.952</v>
      </c>
      <c r="O48">
        <v>1020.4593</v>
      </c>
      <c r="P48">
        <v>39.074184000000002</v>
      </c>
      <c r="Q48">
        <v>-77.139903000000004</v>
      </c>
      <c r="R48">
        <v>39.075983999999998</v>
      </c>
      <c r="S48">
        <v>-77.145697999999996</v>
      </c>
      <c r="T48">
        <v>3.25</v>
      </c>
      <c r="U48">
        <v>10</v>
      </c>
      <c r="V48" t="s">
        <v>21</v>
      </c>
    </row>
    <row r="49" spans="1:22" x14ac:dyDescent="0.25">
      <c r="A49" t="s">
        <v>22</v>
      </c>
      <c r="B49">
        <v>502110</v>
      </c>
      <c r="C49">
        <v>784</v>
      </c>
      <c r="D49">
        <v>0</v>
      </c>
      <c r="E49" t="s">
        <v>20</v>
      </c>
      <c r="F49">
        <v>5434884409</v>
      </c>
      <c r="G49" t="str">
        <f>DEC2HEX(F49)</f>
        <v>143F1C139</v>
      </c>
      <c r="H49" t="str">
        <f>DEC2HEX(F49/64)</f>
        <v>50FC704</v>
      </c>
      <c r="I49">
        <f>HEX2DEC(H49)</f>
        <v>84920068</v>
      </c>
      <c r="J49" t="s">
        <v>23</v>
      </c>
      <c r="K49" t="s">
        <v>24</v>
      </c>
      <c r="L49">
        <v>10218.4833</v>
      </c>
      <c r="M49">
        <v>-9926.2525000000005</v>
      </c>
      <c r="N49">
        <v>10818.4833</v>
      </c>
      <c r="O49">
        <v>-9326.2525000000005</v>
      </c>
      <c r="P49">
        <v>38.980961999999998</v>
      </c>
      <c r="Q49">
        <v>-77.022390999999999</v>
      </c>
      <c r="R49">
        <v>38.986361000000002</v>
      </c>
      <c r="S49">
        <v>-77.015438000000003</v>
      </c>
      <c r="T49">
        <v>23.98</v>
      </c>
      <c r="U49">
        <v>4</v>
      </c>
      <c r="V49" t="s">
        <v>21</v>
      </c>
    </row>
    <row r="50" spans="1:22" x14ac:dyDescent="0.25">
      <c r="A50" t="s">
        <v>22</v>
      </c>
      <c r="B50">
        <v>520110</v>
      </c>
      <c r="C50">
        <v>208</v>
      </c>
      <c r="D50">
        <v>0</v>
      </c>
      <c r="E50" t="s">
        <v>20</v>
      </c>
      <c r="F50">
        <v>5434884399</v>
      </c>
      <c r="G50" t="str">
        <f>DEC2HEX(F50)</f>
        <v>143F1C12F</v>
      </c>
      <c r="H50" t="str">
        <f>DEC2HEX(F50/64)</f>
        <v>50FC704</v>
      </c>
      <c r="I50">
        <f>HEX2DEC(H50)</f>
        <v>84920068</v>
      </c>
      <c r="J50" t="s">
        <v>23</v>
      </c>
      <c r="K50" t="s">
        <v>24</v>
      </c>
      <c r="L50">
        <v>994.15499999999997</v>
      </c>
      <c r="M50">
        <v>-971.57650000000001</v>
      </c>
      <c r="N50">
        <v>1594.155</v>
      </c>
      <c r="O50">
        <v>-371.57650000000001</v>
      </c>
      <c r="P50">
        <v>39.060943000000002</v>
      </c>
      <c r="Q50">
        <v>-77.131107</v>
      </c>
      <c r="R50">
        <v>39.066341999999999</v>
      </c>
      <c r="S50">
        <v>-77.124154000000004</v>
      </c>
      <c r="T50">
        <v>18.829999999999998</v>
      </c>
      <c r="U50">
        <v>5</v>
      </c>
      <c r="V50" t="s">
        <v>21</v>
      </c>
    </row>
    <row r="51" spans="1:22" x14ac:dyDescent="0.25">
      <c r="A51" t="s">
        <v>22</v>
      </c>
      <c r="B51">
        <v>125530</v>
      </c>
      <c r="C51">
        <v>313</v>
      </c>
      <c r="D51">
        <v>1</v>
      </c>
      <c r="E51" t="s">
        <v>20</v>
      </c>
      <c r="F51">
        <v>5434888194</v>
      </c>
      <c r="G51" t="str">
        <f>DEC2HEX(F51)</f>
        <v>143F1D002</v>
      </c>
      <c r="H51" t="str">
        <f>DEC2HEX(F51/64)</f>
        <v>50FC740</v>
      </c>
      <c r="I51">
        <f>HEX2DEC(H51)</f>
        <v>84920128</v>
      </c>
      <c r="J51" t="s">
        <v>23</v>
      </c>
      <c r="K51" t="s">
        <v>24</v>
      </c>
      <c r="L51">
        <v>1269.3347000000001</v>
      </c>
      <c r="M51">
        <v>850.80909999999994</v>
      </c>
      <c r="N51">
        <v>869.3347</v>
      </c>
      <c r="O51">
        <v>750.80909999999994</v>
      </c>
      <c r="P51">
        <v>39.082169</v>
      </c>
      <c r="Q51">
        <v>-77.119121000000007</v>
      </c>
      <c r="R51">
        <v>39.081270000000004</v>
      </c>
      <c r="S51">
        <v>-77.123756999999998</v>
      </c>
      <c r="T51">
        <v>11.12</v>
      </c>
      <c r="U51">
        <v>9</v>
      </c>
      <c r="V51" t="s">
        <v>21</v>
      </c>
    </row>
    <row r="52" spans="1:22" x14ac:dyDescent="0.25">
      <c r="A52" t="s">
        <v>22</v>
      </c>
      <c r="B52">
        <v>125530</v>
      </c>
      <c r="C52">
        <v>2</v>
      </c>
      <c r="D52">
        <v>1</v>
      </c>
      <c r="E52" t="s">
        <v>20</v>
      </c>
      <c r="F52">
        <v>5434888195</v>
      </c>
      <c r="G52" t="str">
        <f>DEC2HEX(F52)</f>
        <v>143F1D003</v>
      </c>
      <c r="H52" t="str">
        <f>DEC2HEX(F52/64)</f>
        <v>50FC740</v>
      </c>
      <c r="I52">
        <f>HEX2DEC(H52)</f>
        <v>84920128</v>
      </c>
      <c r="J52" t="s">
        <v>23</v>
      </c>
      <c r="K52" t="s">
        <v>24</v>
      </c>
      <c r="L52">
        <v>605.54010000000005</v>
      </c>
      <c r="M52">
        <v>-696.53859999999997</v>
      </c>
      <c r="N52">
        <v>1205.5400999999999</v>
      </c>
      <c r="O52">
        <v>-96.538600000000002</v>
      </c>
      <c r="P52">
        <v>39.064084999999999</v>
      </c>
      <c r="Q52">
        <v>-77.133672000000004</v>
      </c>
      <c r="R52">
        <v>39.069482999999998</v>
      </c>
      <c r="S52">
        <v>-77.126717999999997</v>
      </c>
      <c r="T52">
        <v>21.5</v>
      </c>
      <c r="U52">
        <v>5</v>
      </c>
      <c r="V52" t="s">
        <v>21</v>
      </c>
    </row>
    <row r="53" spans="1:22" s="4" customFormat="1" x14ac:dyDescent="0.25">
      <c r="A53" s="4" t="s">
        <v>22</v>
      </c>
      <c r="B53" s="4">
        <v>502110</v>
      </c>
      <c r="C53" s="4">
        <v>889</v>
      </c>
      <c r="D53" s="4">
        <v>0</v>
      </c>
      <c r="E53" s="4" t="s">
        <v>20</v>
      </c>
      <c r="F53" s="4">
        <v>5440647479</v>
      </c>
      <c r="G53" s="4" t="str">
        <f>DEC2HEX(F53)</f>
        <v>14449B137</v>
      </c>
      <c r="H53" s="4" t="str">
        <f>DEC2HEX(F53/64)</f>
        <v>51126C4</v>
      </c>
      <c r="I53" s="4">
        <f>HEX2DEC(H53)</f>
        <v>85010116</v>
      </c>
      <c r="J53" s="4" t="s">
        <v>23</v>
      </c>
      <c r="K53" s="4" t="s">
        <v>24</v>
      </c>
      <c r="L53" s="4">
        <v>-313.04140000000001</v>
      </c>
      <c r="M53" s="4">
        <v>-374.29930000000002</v>
      </c>
      <c r="N53" s="4">
        <v>-313.04140000000001</v>
      </c>
      <c r="O53" s="4">
        <v>-974.29930000000002</v>
      </c>
      <c r="P53" s="4">
        <v>39.061506000000001</v>
      </c>
      <c r="Q53" s="4">
        <v>-77.121769</v>
      </c>
      <c r="R53" s="4">
        <v>39.056108000000002</v>
      </c>
      <c r="S53" s="4">
        <v>-77.121769</v>
      </c>
      <c r="T53" s="4">
        <v>9.2899999999999991</v>
      </c>
      <c r="U53" s="4">
        <v>12</v>
      </c>
      <c r="V53" s="4" t="s">
        <v>21</v>
      </c>
    </row>
    <row r="54" spans="1:22" s="4" customFormat="1" x14ac:dyDescent="0.25">
      <c r="A54" s="4" t="s">
        <v>22</v>
      </c>
      <c r="B54" s="4">
        <v>502110</v>
      </c>
      <c r="C54" s="4">
        <v>834</v>
      </c>
      <c r="D54" s="4">
        <v>0</v>
      </c>
      <c r="E54" s="4" t="s">
        <v>20</v>
      </c>
      <c r="F54" s="4">
        <v>5440647481</v>
      </c>
      <c r="G54" s="4" t="str">
        <f>DEC2HEX(F54)</f>
        <v>14449B139</v>
      </c>
      <c r="H54" s="4" t="str">
        <f>DEC2HEX(F54/64)</f>
        <v>51126C4</v>
      </c>
      <c r="I54" s="4">
        <f>HEX2DEC(H54)</f>
        <v>85010116</v>
      </c>
      <c r="J54" s="4" t="s">
        <v>23</v>
      </c>
      <c r="K54" s="4" t="s">
        <v>24</v>
      </c>
      <c r="L54" s="4">
        <v>-1241.3366000000001</v>
      </c>
      <c r="M54" s="4">
        <v>-161.42189999999999</v>
      </c>
      <c r="N54" s="4">
        <v>-641.33659999999998</v>
      </c>
      <c r="O54" s="4">
        <v>138.57810000000001</v>
      </c>
      <c r="P54" s="4">
        <v>39.057259999999999</v>
      </c>
      <c r="Q54" s="4">
        <v>-77.138298000000006</v>
      </c>
      <c r="R54" s="4">
        <v>39.059958999999999</v>
      </c>
      <c r="S54" s="4">
        <v>-77.131345999999994</v>
      </c>
      <c r="T54" s="4">
        <v>9.06</v>
      </c>
      <c r="U54" s="4">
        <v>11</v>
      </c>
      <c r="V54" s="4" t="s">
        <v>21</v>
      </c>
    </row>
    <row r="55" spans="1:22" s="4" customFormat="1" x14ac:dyDescent="0.25">
      <c r="A55" s="4" t="s">
        <v>22</v>
      </c>
      <c r="B55" s="4">
        <v>520110</v>
      </c>
      <c r="C55" s="4">
        <v>772</v>
      </c>
      <c r="D55" s="4">
        <v>0</v>
      </c>
      <c r="E55" s="4" t="s">
        <v>20</v>
      </c>
      <c r="F55" s="4">
        <v>5440647469</v>
      </c>
      <c r="G55" s="4" t="str">
        <f>DEC2HEX(F55)</f>
        <v>14449B12D</v>
      </c>
      <c r="H55" s="4" t="str">
        <f>DEC2HEX(F55/64)</f>
        <v>51126C4</v>
      </c>
      <c r="I55" s="4">
        <f>HEX2DEC(H55)</f>
        <v>85010116</v>
      </c>
      <c r="J55" s="4" t="s">
        <v>23</v>
      </c>
      <c r="K55" s="4" t="s">
        <v>24</v>
      </c>
      <c r="L55" s="4">
        <v>-147.54230000000001</v>
      </c>
      <c r="M55" s="4">
        <v>-1274.6322</v>
      </c>
      <c r="N55" s="4">
        <v>-247.54230000000001</v>
      </c>
      <c r="O55" s="4">
        <v>-1174.6322</v>
      </c>
      <c r="P55" s="4">
        <v>39.053491999999999</v>
      </c>
      <c r="Q55" s="4">
        <v>-77.120146000000005</v>
      </c>
      <c r="R55" s="4">
        <v>39.054392</v>
      </c>
      <c r="S55" s="4">
        <v>-77.121305000000007</v>
      </c>
      <c r="T55" s="4">
        <v>8.1999999999999993</v>
      </c>
      <c r="U55" s="4">
        <v>9</v>
      </c>
      <c r="V55" s="4" t="s">
        <v>21</v>
      </c>
    </row>
    <row r="56" spans="1:22" s="4" customFormat="1" x14ac:dyDescent="0.25">
      <c r="A56" s="4" t="s">
        <v>22</v>
      </c>
      <c r="B56" s="4">
        <v>520110</v>
      </c>
      <c r="C56" s="4">
        <v>776</v>
      </c>
      <c r="D56" s="4">
        <v>0</v>
      </c>
      <c r="E56" s="4" t="s">
        <v>20</v>
      </c>
      <c r="F56" s="4">
        <v>5440647471</v>
      </c>
      <c r="G56" s="4" t="str">
        <f>DEC2HEX(F56)</f>
        <v>14449B12F</v>
      </c>
      <c r="H56" s="4" t="str">
        <f>DEC2HEX(F56/64)</f>
        <v>51126C4</v>
      </c>
      <c r="I56" s="4">
        <f>HEX2DEC(H56)</f>
        <v>85010116</v>
      </c>
      <c r="J56" s="4" t="s">
        <v>23</v>
      </c>
      <c r="K56" s="4" t="s">
        <v>24</v>
      </c>
      <c r="L56" s="4">
        <v>-1136.8375000000001</v>
      </c>
      <c r="M56" s="4">
        <v>46.757399999999997</v>
      </c>
      <c r="N56" s="4">
        <v>-536.83749999999998</v>
      </c>
      <c r="O56" s="4">
        <v>-53.242600000000003</v>
      </c>
      <c r="P56" s="4">
        <v>39.059133000000003</v>
      </c>
      <c r="Q56" s="4">
        <v>-77.137086999999994</v>
      </c>
      <c r="R56" s="4">
        <v>39.058233000000001</v>
      </c>
      <c r="S56" s="4">
        <v>-77.130134999999996</v>
      </c>
      <c r="T56" s="4">
        <v>8.77</v>
      </c>
      <c r="U56" s="4">
        <v>14</v>
      </c>
      <c r="V56" s="4" t="s">
        <v>21</v>
      </c>
    </row>
    <row r="57" spans="1:22" x14ac:dyDescent="0.25">
      <c r="A57" t="s">
        <v>22</v>
      </c>
      <c r="B57">
        <v>502110</v>
      </c>
      <c r="C57">
        <v>160</v>
      </c>
      <c r="D57">
        <v>0</v>
      </c>
      <c r="E57" t="s">
        <v>20</v>
      </c>
      <c r="F57">
        <v>5444526392</v>
      </c>
      <c r="G57" t="str">
        <f>DEC2HEX(F57)</f>
        <v>14484E138</v>
      </c>
      <c r="H57" t="str">
        <f>DEC2HEX(F57/64)</f>
        <v>5121384</v>
      </c>
      <c r="I57">
        <f>HEX2DEC(H57)</f>
        <v>85070724</v>
      </c>
      <c r="J57" t="s">
        <v>23</v>
      </c>
      <c r="K57" t="s">
        <v>24</v>
      </c>
      <c r="L57">
        <v>2117.9189999999999</v>
      </c>
      <c r="M57">
        <v>349.92619999999999</v>
      </c>
      <c r="N57">
        <v>2717.9189999999999</v>
      </c>
      <c r="O57">
        <v>-250.07380000000001</v>
      </c>
      <c r="P57">
        <v>39.192183</v>
      </c>
      <c r="Q57">
        <v>-77.233930999999998</v>
      </c>
      <c r="R57">
        <v>39.186784000000003</v>
      </c>
      <c r="S57">
        <v>-77.226966000000004</v>
      </c>
      <c r="T57">
        <v>10.119999999999999</v>
      </c>
      <c r="U57">
        <v>9</v>
      </c>
      <c r="V57" t="s">
        <v>21</v>
      </c>
    </row>
    <row r="58" spans="1:22" x14ac:dyDescent="0.25">
      <c r="A58" t="s">
        <v>22</v>
      </c>
      <c r="B58">
        <v>502110</v>
      </c>
      <c r="C58">
        <v>674</v>
      </c>
      <c r="D58">
        <v>0</v>
      </c>
      <c r="E58" t="s">
        <v>20</v>
      </c>
      <c r="F58">
        <v>5461274935</v>
      </c>
      <c r="G58" t="str">
        <f>DEC2HEX(F58)</f>
        <v>145847137</v>
      </c>
      <c r="H58" t="str">
        <f>DEC2HEX(F58/64)</f>
        <v>51611C4</v>
      </c>
      <c r="I58">
        <f>HEX2DEC(H58)</f>
        <v>85332420</v>
      </c>
      <c r="J58" t="s">
        <v>23</v>
      </c>
      <c r="K58" t="s">
        <v>24</v>
      </c>
      <c r="L58">
        <v>230.40350000000001</v>
      </c>
      <c r="M58">
        <v>61.96</v>
      </c>
      <c r="N58">
        <v>430.40350000000001</v>
      </c>
      <c r="O58">
        <v>-538.04</v>
      </c>
      <c r="P58">
        <v>39.107401000000003</v>
      </c>
      <c r="Q58">
        <v>-77.181078999999997</v>
      </c>
      <c r="R58">
        <v>39.102003000000003</v>
      </c>
      <c r="S58">
        <v>-77.178759999999997</v>
      </c>
      <c r="T58">
        <v>13.34</v>
      </c>
      <c r="U58">
        <v>5</v>
      </c>
      <c r="V58" t="s">
        <v>21</v>
      </c>
    </row>
    <row r="59" spans="1:22" x14ac:dyDescent="0.25">
      <c r="A59" t="s">
        <v>22</v>
      </c>
      <c r="B59">
        <v>502110</v>
      </c>
      <c r="C59">
        <v>610</v>
      </c>
      <c r="D59">
        <v>0</v>
      </c>
      <c r="E59" t="s">
        <v>20</v>
      </c>
      <c r="F59">
        <v>5461274936</v>
      </c>
      <c r="G59" t="str">
        <f>DEC2HEX(F59)</f>
        <v>145847138</v>
      </c>
      <c r="H59" t="str">
        <f>DEC2HEX(F59/64)</f>
        <v>51611C4</v>
      </c>
      <c r="I59">
        <f>HEX2DEC(H59)</f>
        <v>85332420</v>
      </c>
      <c r="J59" t="s">
        <v>23</v>
      </c>
      <c r="K59" t="s">
        <v>24</v>
      </c>
      <c r="L59">
        <v>-6601.7021000000004</v>
      </c>
      <c r="M59">
        <v>-4642.3262000000004</v>
      </c>
      <c r="N59">
        <v>-7201.7021000000004</v>
      </c>
      <c r="O59">
        <v>-4042.3262</v>
      </c>
      <c r="P59">
        <v>39.058402000000001</v>
      </c>
      <c r="Q59">
        <v>-77.255628000000002</v>
      </c>
      <c r="R59">
        <v>39.063800000000001</v>
      </c>
      <c r="S59">
        <v>-77.262584000000004</v>
      </c>
      <c r="T59">
        <v>15.39</v>
      </c>
      <c r="U59">
        <v>6</v>
      </c>
      <c r="V59" t="s">
        <v>21</v>
      </c>
    </row>
    <row r="60" spans="1:22" x14ac:dyDescent="0.25">
      <c r="A60" t="s">
        <v>22</v>
      </c>
      <c r="B60">
        <v>520110</v>
      </c>
      <c r="C60">
        <v>534</v>
      </c>
      <c r="D60">
        <v>0</v>
      </c>
      <c r="E60" t="s">
        <v>20</v>
      </c>
      <c r="F60">
        <v>5461274925</v>
      </c>
      <c r="G60" t="str">
        <f>DEC2HEX(F60)</f>
        <v>14584712D</v>
      </c>
      <c r="H60" t="str">
        <f>DEC2HEX(F60/64)</f>
        <v>51611C4</v>
      </c>
      <c r="I60">
        <f>HEX2DEC(H60)</f>
        <v>85332420</v>
      </c>
      <c r="J60" t="s">
        <v>23</v>
      </c>
      <c r="K60" t="s">
        <v>24</v>
      </c>
      <c r="L60">
        <v>-932.05809999999997</v>
      </c>
      <c r="M60">
        <v>-563.45150000000001</v>
      </c>
      <c r="N60">
        <v>-332.05810000000002</v>
      </c>
      <c r="O60">
        <v>-1163.4514999999999</v>
      </c>
      <c r="P60">
        <v>39.102215000000001</v>
      </c>
      <c r="Q60">
        <v>-77.195002000000002</v>
      </c>
      <c r="R60">
        <v>39.096817000000001</v>
      </c>
      <c r="S60">
        <v>-77.188044000000005</v>
      </c>
      <c r="T60">
        <v>14.91</v>
      </c>
      <c r="U60">
        <v>5</v>
      </c>
      <c r="V60" t="s">
        <v>21</v>
      </c>
    </row>
    <row r="61" spans="1:22" x14ac:dyDescent="0.25">
      <c r="A61" t="s">
        <v>22</v>
      </c>
      <c r="B61">
        <v>520110</v>
      </c>
      <c r="C61">
        <v>100</v>
      </c>
      <c r="D61">
        <v>0</v>
      </c>
      <c r="E61" t="s">
        <v>20</v>
      </c>
      <c r="F61">
        <v>5461274926</v>
      </c>
      <c r="G61" t="str">
        <f>DEC2HEX(F61)</f>
        <v>14584712E</v>
      </c>
      <c r="H61" t="str">
        <f>DEC2HEX(F61/64)</f>
        <v>51611C4</v>
      </c>
      <c r="I61">
        <f>HEX2DEC(H61)</f>
        <v>85332420</v>
      </c>
      <c r="J61" t="s">
        <v>23</v>
      </c>
      <c r="K61" t="s">
        <v>24</v>
      </c>
      <c r="L61">
        <v>743.63009999999997</v>
      </c>
      <c r="M61">
        <v>118.8874</v>
      </c>
      <c r="N61">
        <v>743.63009999999997</v>
      </c>
      <c r="O61">
        <v>218.88740000000001</v>
      </c>
      <c r="P61">
        <v>39.101300000000002</v>
      </c>
      <c r="Q61">
        <v>-77.170488000000006</v>
      </c>
      <c r="R61">
        <v>39.102198999999999</v>
      </c>
      <c r="S61">
        <v>-77.170488000000006</v>
      </c>
      <c r="T61">
        <v>16.489999999999998</v>
      </c>
      <c r="U61">
        <v>5</v>
      </c>
      <c r="V61" t="s">
        <v>21</v>
      </c>
    </row>
    <row r="62" spans="1:22" x14ac:dyDescent="0.25">
      <c r="A62" t="s">
        <v>22</v>
      </c>
      <c r="B62">
        <v>502110</v>
      </c>
      <c r="C62">
        <v>815</v>
      </c>
      <c r="D62">
        <v>0</v>
      </c>
      <c r="E62" t="s">
        <v>20</v>
      </c>
      <c r="F62">
        <v>5464711479</v>
      </c>
      <c r="G62" t="str">
        <f>DEC2HEX(F62)</f>
        <v>145B8E137</v>
      </c>
      <c r="H62" t="str">
        <f>DEC2HEX(F62/64)</f>
        <v>516E384</v>
      </c>
      <c r="I62">
        <f>HEX2DEC(H62)</f>
        <v>85386116</v>
      </c>
      <c r="J62" t="s">
        <v>23</v>
      </c>
      <c r="K62" t="s">
        <v>24</v>
      </c>
      <c r="L62">
        <v>85.997600000000006</v>
      </c>
      <c r="M62">
        <v>-1517.3062</v>
      </c>
      <c r="N62">
        <v>-14.0024</v>
      </c>
      <c r="O62">
        <v>-1517.3062</v>
      </c>
      <c r="P62">
        <v>39.040669999999999</v>
      </c>
      <c r="Q62">
        <v>-77.162075999999999</v>
      </c>
      <c r="R62">
        <v>39.040669999999999</v>
      </c>
      <c r="S62">
        <v>-77.163234000000003</v>
      </c>
      <c r="T62">
        <v>9.8000000000000007</v>
      </c>
      <c r="U62">
        <v>12</v>
      </c>
      <c r="V62" t="s">
        <v>21</v>
      </c>
    </row>
    <row r="63" spans="1:22" x14ac:dyDescent="0.25">
      <c r="A63" t="s">
        <v>22</v>
      </c>
      <c r="B63">
        <v>520110</v>
      </c>
      <c r="C63">
        <v>756</v>
      </c>
      <c r="D63">
        <v>0</v>
      </c>
      <c r="E63" t="s">
        <v>20</v>
      </c>
      <c r="F63">
        <v>5464711469</v>
      </c>
      <c r="G63" t="str">
        <f>DEC2HEX(F63)</f>
        <v>145B8E12D</v>
      </c>
      <c r="H63" t="str">
        <f>DEC2HEX(F63/64)</f>
        <v>516E384</v>
      </c>
      <c r="I63">
        <f>HEX2DEC(H63)</f>
        <v>85386116</v>
      </c>
      <c r="J63" t="s">
        <v>23</v>
      </c>
      <c r="K63" t="s">
        <v>24</v>
      </c>
      <c r="L63">
        <v>163.23310000000001</v>
      </c>
      <c r="M63">
        <v>-1370.6581000000001</v>
      </c>
      <c r="N63">
        <v>63.2331</v>
      </c>
      <c r="O63">
        <v>-1370.6581000000001</v>
      </c>
      <c r="P63">
        <v>39.040174</v>
      </c>
      <c r="Q63">
        <v>-77.162080000000003</v>
      </c>
      <c r="R63">
        <v>39.040174</v>
      </c>
      <c r="S63">
        <v>-77.163238000000007</v>
      </c>
      <c r="T63">
        <v>10.78</v>
      </c>
      <c r="U63">
        <v>9</v>
      </c>
      <c r="V63" t="s">
        <v>21</v>
      </c>
    </row>
    <row r="64" spans="1:22" x14ac:dyDescent="0.25">
      <c r="A64" t="s">
        <v>22</v>
      </c>
      <c r="B64">
        <v>502110</v>
      </c>
      <c r="C64">
        <v>576</v>
      </c>
      <c r="D64">
        <v>0</v>
      </c>
      <c r="E64" t="s">
        <v>20</v>
      </c>
      <c r="F64">
        <v>5467300153</v>
      </c>
      <c r="G64" t="str">
        <f>DEC2HEX(F64)</f>
        <v>145E06139</v>
      </c>
      <c r="H64" t="str">
        <f>DEC2HEX(F64/64)</f>
        <v>5178184</v>
      </c>
      <c r="I64">
        <f>HEX2DEC(H64)</f>
        <v>85426564</v>
      </c>
      <c r="J64" t="s">
        <v>23</v>
      </c>
      <c r="K64" t="s">
        <v>24</v>
      </c>
      <c r="L64">
        <v>-2781.3218999999999</v>
      </c>
      <c r="M64">
        <v>-2230.4382000000001</v>
      </c>
      <c r="N64">
        <v>-2181.3218999999999</v>
      </c>
      <c r="O64">
        <v>-2830.4382000000001</v>
      </c>
      <c r="P64">
        <v>39.180211</v>
      </c>
      <c r="Q64">
        <v>-77.298355999999998</v>
      </c>
      <c r="R64">
        <v>39.174812000000003</v>
      </c>
      <c r="S64">
        <v>-77.291388999999995</v>
      </c>
      <c r="T64">
        <v>13.77</v>
      </c>
      <c r="U64">
        <v>6</v>
      </c>
      <c r="V64" t="s">
        <v>21</v>
      </c>
    </row>
    <row r="65" spans="1:22" x14ac:dyDescent="0.25">
      <c r="A65" t="s">
        <v>22</v>
      </c>
      <c r="B65">
        <v>520110</v>
      </c>
      <c r="C65">
        <v>961</v>
      </c>
      <c r="D65">
        <v>0</v>
      </c>
      <c r="E65" t="s">
        <v>20</v>
      </c>
      <c r="F65">
        <v>5467300143</v>
      </c>
      <c r="G65" t="str">
        <f>DEC2HEX(F65)</f>
        <v>145E0612F</v>
      </c>
      <c r="H65" t="str">
        <f>DEC2HEX(F65/64)</f>
        <v>5178184</v>
      </c>
      <c r="I65">
        <f>HEX2DEC(H65)</f>
        <v>85426564</v>
      </c>
      <c r="J65" t="s">
        <v>23</v>
      </c>
      <c r="K65" t="s">
        <v>24</v>
      </c>
      <c r="L65">
        <v>-1886.2729999999999</v>
      </c>
      <c r="M65">
        <v>-1390.8931</v>
      </c>
      <c r="N65">
        <v>-1286.2729999999999</v>
      </c>
      <c r="O65">
        <v>-1990.8931</v>
      </c>
      <c r="P65">
        <v>39.187721000000003</v>
      </c>
      <c r="Q65">
        <v>-77.287913000000003</v>
      </c>
      <c r="R65">
        <v>39.182321999999999</v>
      </c>
      <c r="S65">
        <v>-77.280946999999998</v>
      </c>
      <c r="T65">
        <v>14.44</v>
      </c>
      <c r="U65">
        <v>6</v>
      </c>
      <c r="V65" t="s">
        <v>21</v>
      </c>
    </row>
    <row r="66" spans="1:22" x14ac:dyDescent="0.25">
      <c r="A66" t="s">
        <v>22</v>
      </c>
      <c r="B66">
        <v>387170</v>
      </c>
      <c r="C66">
        <v>120</v>
      </c>
      <c r="D66">
        <v>0</v>
      </c>
      <c r="E66" t="s">
        <v>20</v>
      </c>
      <c r="F66">
        <v>5488136213</v>
      </c>
      <c r="G66" t="str">
        <f>DEC2HEX(F66)</f>
        <v>1471E5015</v>
      </c>
      <c r="H66" t="str">
        <f>DEC2HEX(F66/64)</f>
        <v>51C7940</v>
      </c>
      <c r="I66">
        <f>HEX2DEC(H66)</f>
        <v>85752128</v>
      </c>
      <c r="J66" t="s">
        <v>23</v>
      </c>
      <c r="K66" t="s">
        <v>24</v>
      </c>
      <c r="L66">
        <v>-4329.4656999999997</v>
      </c>
      <c r="M66">
        <v>-2029.8318999999999</v>
      </c>
      <c r="N66">
        <v>-3729.4657000000002</v>
      </c>
      <c r="O66">
        <v>-2629.8319000000001</v>
      </c>
      <c r="P66">
        <v>39.204545000000003</v>
      </c>
      <c r="Q66">
        <v>-77.330675999999997</v>
      </c>
      <c r="R66">
        <v>39.199145999999999</v>
      </c>
      <c r="S66">
        <v>-77.323706999999999</v>
      </c>
      <c r="T66">
        <v>9.83</v>
      </c>
      <c r="U66">
        <v>9</v>
      </c>
      <c r="V66" t="s">
        <v>21</v>
      </c>
    </row>
    <row r="67" spans="1:22" x14ac:dyDescent="0.25">
      <c r="A67" t="s">
        <v>22</v>
      </c>
      <c r="B67">
        <v>126510</v>
      </c>
      <c r="C67">
        <v>705</v>
      </c>
      <c r="D67">
        <v>1</v>
      </c>
      <c r="E67" t="s">
        <v>20</v>
      </c>
      <c r="F67">
        <v>5488136194</v>
      </c>
      <c r="G67" t="str">
        <f>DEC2HEX(F67)</f>
        <v>1471E5002</v>
      </c>
      <c r="H67" t="str">
        <f>DEC2HEX(F67/64)</f>
        <v>51C7940</v>
      </c>
      <c r="I67">
        <f>HEX2DEC(H67)</f>
        <v>85752128</v>
      </c>
      <c r="J67" t="s">
        <v>23</v>
      </c>
      <c r="K67" t="s">
        <v>24</v>
      </c>
      <c r="L67">
        <v>504.15320000000003</v>
      </c>
      <c r="M67">
        <v>587.58879999999999</v>
      </c>
      <c r="N67">
        <v>804.15319999999997</v>
      </c>
      <c r="O67">
        <v>587.58879999999999</v>
      </c>
      <c r="P67">
        <v>39.213881999999998</v>
      </c>
      <c r="Q67">
        <v>-77.269041000000001</v>
      </c>
      <c r="R67">
        <v>39.213881999999998</v>
      </c>
      <c r="S67">
        <v>-77.265557000000001</v>
      </c>
      <c r="T67">
        <v>14.91</v>
      </c>
      <c r="U67">
        <v>7</v>
      </c>
      <c r="V67" t="s">
        <v>21</v>
      </c>
    </row>
    <row r="68" spans="1:22" x14ac:dyDescent="0.25">
      <c r="A68" t="s">
        <v>22</v>
      </c>
      <c r="B68">
        <v>126510</v>
      </c>
      <c r="C68">
        <v>370</v>
      </c>
      <c r="D68">
        <v>1</v>
      </c>
      <c r="E68" t="s">
        <v>20</v>
      </c>
      <c r="F68">
        <v>5488136195</v>
      </c>
      <c r="G68" t="str">
        <f>DEC2HEX(F68)</f>
        <v>1471E5003</v>
      </c>
      <c r="H68" t="str">
        <f>DEC2HEX(F68/64)</f>
        <v>51C7940</v>
      </c>
      <c r="I68">
        <f>HEX2DEC(H68)</f>
        <v>85752128</v>
      </c>
      <c r="J68" t="s">
        <v>23</v>
      </c>
      <c r="K68" t="s">
        <v>24</v>
      </c>
      <c r="L68">
        <v>-4341.4696000000004</v>
      </c>
      <c r="M68">
        <v>-1776.4824000000001</v>
      </c>
      <c r="N68">
        <v>-3741.4695999999999</v>
      </c>
      <c r="O68">
        <v>-2376.4823999999999</v>
      </c>
      <c r="P68">
        <v>39.207917999999999</v>
      </c>
      <c r="Q68">
        <v>-77.331288000000001</v>
      </c>
      <c r="R68">
        <v>39.202519000000002</v>
      </c>
      <c r="S68">
        <v>-77.324319000000003</v>
      </c>
      <c r="T68">
        <v>6.44</v>
      </c>
      <c r="U68">
        <v>10</v>
      </c>
      <c r="V68" t="s">
        <v>21</v>
      </c>
    </row>
    <row r="69" spans="1:22" x14ac:dyDescent="0.25">
      <c r="A69" t="s">
        <v>22</v>
      </c>
      <c r="B69">
        <v>502110</v>
      </c>
      <c r="C69">
        <v>137</v>
      </c>
      <c r="D69">
        <v>0</v>
      </c>
      <c r="E69" t="s">
        <v>20</v>
      </c>
      <c r="F69">
        <v>5488140600</v>
      </c>
      <c r="G69" t="str">
        <f>DEC2HEX(F69)</f>
        <v>1471E6138</v>
      </c>
      <c r="H69" t="str">
        <f>DEC2HEX(F69/64)</f>
        <v>51C7984</v>
      </c>
      <c r="I69">
        <f>HEX2DEC(H69)</f>
        <v>85752196</v>
      </c>
      <c r="J69" t="s">
        <v>23</v>
      </c>
      <c r="K69" t="s">
        <v>24</v>
      </c>
      <c r="L69">
        <v>1088.3271</v>
      </c>
      <c r="M69">
        <v>250.8091</v>
      </c>
      <c r="N69">
        <v>488.32709999999997</v>
      </c>
      <c r="O69">
        <v>850.80909999999994</v>
      </c>
      <c r="P69">
        <v>39.212716999999998</v>
      </c>
      <c r="Q69">
        <v>-77.263323</v>
      </c>
      <c r="R69">
        <v>39.218114999999997</v>
      </c>
      <c r="S69">
        <v>-77.270290000000003</v>
      </c>
      <c r="T69">
        <v>14.91</v>
      </c>
      <c r="U69">
        <v>8</v>
      </c>
      <c r="V69" t="s">
        <v>21</v>
      </c>
    </row>
    <row r="70" spans="1:22" x14ac:dyDescent="0.25">
      <c r="A70" t="s">
        <v>22</v>
      </c>
      <c r="B70">
        <v>502110</v>
      </c>
      <c r="C70">
        <v>85</v>
      </c>
      <c r="D70">
        <v>0</v>
      </c>
      <c r="E70" t="s">
        <v>20</v>
      </c>
      <c r="F70">
        <v>5488140601</v>
      </c>
      <c r="G70" t="str">
        <f>DEC2HEX(F70)</f>
        <v>1471E6139</v>
      </c>
      <c r="H70" t="str">
        <f>DEC2HEX(F70/64)</f>
        <v>51C7984</v>
      </c>
      <c r="I70">
        <f>HEX2DEC(H70)</f>
        <v>85752196</v>
      </c>
      <c r="J70" t="s">
        <v>23</v>
      </c>
      <c r="K70" t="s">
        <v>24</v>
      </c>
      <c r="L70">
        <v>-817.46050000000002</v>
      </c>
      <c r="M70">
        <v>-753.24270000000001</v>
      </c>
      <c r="N70">
        <v>-217.4605</v>
      </c>
      <c r="O70">
        <v>-1353.2427</v>
      </c>
      <c r="P70">
        <v>39.217455000000001</v>
      </c>
      <c r="Q70">
        <v>-77.290499999999994</v>
      </c>
      <c r="R70">
        <v>39.212055999999997</v>
      </c>
      <c r="S70">
        <v>-77.283530999999996</v>
      </c>
      <c r="T70">
        <v>8.02</v>
      </c>
      <c r="U70">
        <v>10</v>
      </c>
      <c r="V70" t="s">
        <v>21</v>
      </c>
    </row>
    <row r="71" spans="1:22" x14ac:dyDescent="0.25">
      <c r="A71" t="s">
        <v>22</v>
      </c>
      <c r="B71">
        <v>520110</v>
      </c>
      <c r="C71">
        <v>300</v>
      </c>
      <c r="D71">
        <v>0</v>
      </c>
      <c r="E71" t="s">
        <v>20</v>
      </c>
      <c r="F71">
        <v>5488140590</v>
      </c>
      <c r="G71" t="str">
        <f>DEC2HEX(F71)</f>
        <v>1471E612E</v>
      </c>
      <c r="H71" t="str">
        <f>DEC2HEX(F71/64)</f>
        <v>51C7984</v>
      </c>
      <c r="I71">
        <f>HEX2DEC(H71)</f>
        <v>85752196</v>
      </c>
      <c r="J71" t="s">
        <v>23</v>
      </c>
      <c r="K71" t="s">
        <v>24</v>
      </c>
      <c r="L71">
        <v>821.80790000000002</v>
      </c>
      <c r="M71">
        <v>143.33320000000001</v>
      </c>
      <c r="N71">
        <v>321.80790000000002</v>
      </c>
      <c r="O71">
        <v>543.33320000000003</v>
      </c>
      <c r="P71">
        <v>39.211150000000004</v>
      </c>
      <c r="Q71">
        <v>-77.266121999999996</v>
      </c>
      <c r="R71">
        <v>39.214748999999998</v>
      </c>
      <c r="S71">
        <v>-77.271928000000003</v>
      </c>
      <c r="T71">
        <v>17.059999999999999</v>
      </c>
      <c r="U71">
        <v>7</v>
      </c>
      <c r="V71" t="s">
        <v>21</v>
      </c>
    </row>
    <row r="72" spans="1:22" x14ac:dyDescent="0.25">
      <c r="A72" t="s">
        <v>22</v>
      </c>
      <c r="B72">
        <v>502110</v>
      </c>
      <c r="C72">
        <v>76</v>
      </c>
      <c r="D72">
        <v>0</v>
      </c>
      <c r="E72" t="s">
        <v>20</v>
      </c>
      <c r="F72">
        <v>5488197943</v>
      </c>
      <c r="G72" t="str">
        <f>DEC2HEX(F72)</f>
        <v>1471F4137</v>
      </c>
      <c r="H72" t="str">
        <f>DEC2HEX(F72/64)</f>
        <v>51C7D04</v>
      </c>
      <c r="I72">
        <f>HEX2DEC(H72)</f>
        <v>85753092</v>
      </c>
      <c r="J72" t="s">
        <v>23</v>
      </c>
      <c r="K72" t="s">
        <v>24</v>
      </c>
      <c r="L72">
        <v>-315.46440000000001</v>
      </c>
      <c r="M72">
        <v>-759.0838</v>
      </c>
      <c r="N72">
        <v>-815.46439999999996</v>
      </c>
      <c r="O72">
        <v>-459.0838</v>
      </c>
      <c r="P72">
        <v>39.046678</v>
      </c>
      <c r="Q72">
        <v>-77.167210999999995</v>
      </c>
      <c r="R72">
        <v>39.049377</v>
      </c>
      <c r="S72">
        <v>-77.173005000000003</v>
      </c>
      <c r="T72">
        <v>8.02</v>
      </c>
      <c r="U72">
        <v>9</v>
      </c>
      <c r="V72" t="s">
        <v>21</v>
      </c>
    </row>
    <row r="73" spans="1:22" x14ac:dyDescent="0.25">
      <c r="A73" t="s">
        <v>22</v>
      </c>
      <c r="B73">
        <v>126510</v>
      </c>
      <c r="C73">
        <v>191</v>
      </c>
      <c r="D73">
        <v>1</v>
      </c>
      <c r="E73" t="s">
        <v>20</v>
      </c>
      <c r="F73">
        <v>5497360385</v>
      </c>
      <c r="G73" t="str">
        <f>DEC2HEX(F73)</f>
        <v>147AB1001</v>
      </c>
      <c r="H73" t="str">
        <f>DEC2HEX(F73/64)</f>
        <v>51EAC40</v>
      </c>
      <c r="I73">
        <f>HEX2DEC(H73)</f>
        <v>85896256</v>
      </c>
      <c r="J73" t="s">
        <v>23</v>
      </c>
      <c r="K73" t="s">
        <v>24</v>
      </c>
      <c r="L73">
        <v>-182.10130000000001</v>
      </c>
      <c r="M73">
        <v>98.8857</v>
      </c>
      <c r="N73">
        <v>-282.10129999999998</v>
      </c>
      <c r="O73">
        <v>-101.1143</v>
      </c>
      <c r="P73">
        <v>39.232433</v>
      </c>
      <c r="Q73">
        <v>-77.282909000000004</v>
      </c>
      <c r="R73">
        <v>39.230632999999997</v>
      </c>
      <c r="S73">
        <v>-77.284070999999997</v>
      </c>
      <c r="T73">
        <v>19.309999999999999</v>
      </c>
      <c r="U73">
        <v>9</v>
      </c>
      <c r="V73" t="s">
        <v>21</v>
      </c>
    </row>
    <row r="74" spans="1:22" x14ac:dyDescent="0.25">
      <c r="A74" t="s">
        <v>22</v>
      </c>
      <c r="B74">
        <v>126510</v>
      </c>
      <c r="C74">
        <v>691</v>
      </c>
      <c r="D74">
        <v>1</v>
      </c>
      <c r="E74" t="s">
        <v>20</v>
      </c>
      <c r="F74">
        <v>5497360386</v>
      </c>
      <c r="G74" t="str">
        <f>DEC2HEX(F74)</f>
        <v>147AB1002</v>
      </c>
      <c r="H74" t="str">
        <f>DEC2HEX(F74/64)</f>
        <v>51EAC40</v>
      </c>
      <c r="I74">
        <f>HEX2DEC(H74)</f>
        <v>85896256</v>
      </c>
      <c r="J74" t="s">
        <v>23</v>
      </c>
      <c r="K74" t="s">
        <v>24</v>
      </c>
      <c r="L74">
        <v>-113.1583</v>
      </c>
      <c r="M74">
        <v>-142.5797</v>
      </c>
      <c r="N74">
        <v>-413.1583</v>
      </c>
      <c r="O74">
        <v>-242.5797</v>
      </c>
      <c r="P74">
        <v>39.229934999999998</v>
      </c>
      <c r="Q74">
        <v>-77.281934000000007</v>
      </c>
      <c r="R74">
        <v>39.229035000000003</v>
      </c>
      <c r="S74">
        <v>-77.285419000000005</v>
      </c>
      <c r="T74">
        <v>9.75</v>
      </c>
      <c r="U74">
        <v>9</v>
      </c>
      <c r="V74" t="s">
        <v>21</v>
      </c>
    </row>
    <row r="75" spans="1:22" x14ac:dyDescent="0.25">
      <c r="A75" t="s">
        <v>22</v>
      </c>
      <c r="B75">
        <v>502110</v>
      </c>
      <c r="C75">
        <v>132</v>
      </c>
      <c r="D75">
        <v>0</v>
      </c>
      <c r="E75" t="s">
        <v>20</v>
      </c>
      <c r="F75">
        <v>5497364791</v>
      </c>
      <c r="G75" t="str">
        <f>DEC2HEX(F75)</f>
        <v>147AB2137</v>
      </c>
      <c r="H75" t="str">
        <f>DEC2HEX(F75/64)</f>
        <v>51EAC84</v>
      </c>
      <c r="I75">
        <f>HEX2DEC(H75)</f>
        <v>85896324</v>
      </c>
      <c r="J75" t="s">
        <v>23</v>
      </c>
      <c r="K75" t="s">
        <v>24</v>
      </c>
      <c r="L75">
        <v>-91.351200000000006</v>
      </c>
      <c r="M75">
        <v>139.024</v>
      </c>
      <c r="N75">
        <v>-191.35120000000001</v>
      </c>
      <c r="O75">
        <v>39.024000000000001</v>
      </c>
      <c r="P75">
        <v>39.232322000000003</v>
      </c>
      <c r="Q75">
        <v>-77.281993</v>
      </c>
      <c r="R75">
        <v>39.231422000000002</v>
      </c>
      <c r="S75">
        <v>-77.283154999999994</v>
      </c>
      <c r="T75">
        <v>21.78</v>
      </c>
      <c r="U75">
        <v>10</v>
      </c>
      <c r="V75" t="s">
        <v>21</v>
      </c>
    </row>
    <row r="76" spans="1:22" x14ac:dyDescent="0.25">
      <c r="A76" t="s">
        <v>22</v>
      </c>
      <c r="B76">
        <v>502110</v>
      </c>
      <c r="C76">
        <v>550</v>
      </c>
      <c r="D76">
        <v>0</v>
      </c>
      <c r="E76" t="s">
        <v>20</v>
      </c>
      <c r="F76">
        <v>5497364792</v>
      </c>
      <c r="G76" t="str">
        <f>DEC2HEX(F76)</f>
        <v>147AB2138</v>
      </c>
      <c r="H76" t="str">
        <f>DEC2HEX(F76/64)</f>
        <v>51EAC84</v>
      </c>
      <c r="I76">
        <f>HEX2DEC(H76)</f>
        <v>85896324</v>
      </c>
      <c r="J76" t="s">
        <v>23</v>
      </c>
      <c r="K76" t="s">
        <v>24</v>
      </c>
      <c r="L76">
        <v>-164.60990000000001</v>
      </c>
      <c r="M76">
        <v>-368.0095</v>
      </c>
      <c r="N76">
        <v>-64.609899999999996</v>
      </c>
      <c r="O76">
        <v>-268.0095</v>
      </c>
      <c r="P76">
        <v>39.227902999999998</v>
      </c>
      <c r="Q76">
        <v>-77.282837000000001</v>
      </c>
      <c r="R76">
        <v>39.228802999999999</v>
      </c>
      <c r="S76">
        <v>-77.281676000000004</v>
      </c>
      <c r="T76">
        <v>15.04</v>
      </c>
      <c r="U76">
        <v>5</v>
      </c>
      <c r="V76" t="s">
        <v>21</v>
      </c>
    </row>
    <row r="77" spans="1:22" x14ac:dyDescent="0.25">
      <c r="A77" t="s">
        <v>22</v>
      </c>
      <c r="B77">
        <v>520110</v>
      </c>
      <c r="C77">
        <v>277</v>
      </c>
      <c r="D77">
        <v>0</v>
      </c>
      <c r="E77" t="s">
        <v>20</v>
      </c>
      <c r="F77">
        <v>5497364781</v>
      </c>
      <c r="G77" t="str">
        <f>DEC2HEX(F77)</f>
        <v>147AB212D</v>
      </c>
      <c r="H77" t="str">
        <f>DEC2HEX(F77/64)</f>
        <v>51EAC84</v>
      </c>
      <c r="I77">
        <f>HEX2DEC(H77)</f>
        <v>85896324</v>
      </c>
      <c r="J77" t="s">
        <v>23</v>
      </c>
      <c r="K77" t="s">
        <v>24</v>
      </c>
      <c r="L77">
        <v>-62.202300000000001</v>
      </c>
      <c r="M77">
        <v>221.20920000000001</v>
      </c>
      <c r="N77">
        <v>-262.20229999999998</v>
      </c>
      <c r="O77">
        <v>21.209199999999999</v>
      </c>
      <c r="P77">
        <v>39.233054000000003</v>
      </c>
      <c r="Q77">
        <v>-77.281649999999999</v>
      </c>
      <c r="R77">
        <v>39.231254999999997</v>
      </c>
      <c r="S77">
        <v>-77.283973000000003</v>
      </c>
      <c r="T77">
        <v>18.22</v>
      </c>
      <c r="U77">
        <v>10</v>
      </c>
      <c r="V77" t="s">
        <v>21</v>
      </c>
    </row>
    <row r="78" spans="1:22" x14ac:dyDescent="0.25">
      <c r="A78" t="s">
        <v>22</v>
      </c>
      <c r="B78">
        <v>520110</v>
      </c>
      <c r="C78">
        <v>675</v>
      </c>
      <c r="D78">
        <v>0</v>
      </c>
      <c r="E78" t="s">
        <v>20</v>
      </c>
      <c r="F78">
        <v>5497364782</v>
      </c>
      <c r="G78" t="str">
        <f>DEC2HEX(F78)</f>
        <v>147AB212E</v>
      </c>
      <c r="H78" t="str">
        <f>DEC2HEX(F78/64)</f>
        <v>51EAC84</v>
      </c>
      <c r="I78">
        <f>HEX2DEC(H78)</f>
        <v>85896324</v>
      </c>
      <c r="J78" t="s">
        <v>23</v>
      </c>
      <c r="K78" t="s">
        <v>24</v>
      </c>
      <c r="L78">
        <v>223.9666</v>
      </c>
      <c r="M78">
        <v>-347.14440000000002</v>
      </c>
      <c r="N78">
        <v>23.9666</v>
      </c>
      <c r="O78">
        <v>-347.14440000000002</v>
      </c>
      <c r="P78">
        <v>39.228231000000001</v>
      </c>
      <c r="Q78">
        <v>-77.278283999999999</v>
      </c>
      <c r="R78">
        <v>39.228231000000001</v>
      </c>
      <c r="S78">
        <v>-77.280608000000001</v>
      </c>
      <c r="T78">
        <v>15.05</v>
      </c>
      <c r="U78">
        <v>6</v>
      </c>
      <c r="V78" t="s">
        <v>21</v>
      </c>
    </row>
    <row r="79" spans="1:22" x14ac:dyDescent="0.25">
      <c r="A79" t="s">
        <v>22</v>
      </c>
      <c r="B79">
        <v>387170</v>
      </c>
      <c r="C79">
        <v>140</v>
      </c>
      <c r="D79">
        <v>0</v>
      </c>
      <c r="E79" t="s">
        <v>20</v>
      </c>
      <c r="F79">
        <v>5572272150</v>
      </c>
      <c r="G79" t="str">
        <f>DEC2HEX(F79)</f>
        <v>14C222016</v>
      </c>
      <c r="H79" t="str">
        <f>DEC2HEX(F79/64)</f>
        <v>5308880</v>
      </c>
      <c r="I79">
        <f>HEX2DEC(H79)</f>
        <v>87066752</v>
      </c>
      <c r="J79" t="s">
        <v>23</v>
      </c>
      <c r="K79" t="s">
        <v>24</v>
      </c>
      <c r="L79">
        <v>10832.73</v>
      </c>
      <c r="M79">
        <v>5396.0171</v>
      </c>
      <c r="N79">
        <v>11432.73</v>
      </c>
      <c r="O79">
        <v>4796.0171</v>
      </c>
      <c r="P79">
        <v>39.237586</v>
      </c>
      <c r="Q79">
        <v>-77.132761000000002</v>
      </c>
      <c r="R79">
        <v>39.232187000000003</v>
      </c>
      <c r="S79">
        <v>-77.125794999999997</v>
      </c>
      <c r="T79">
        <v>14.05</v>
      </c>
      <c r="U79">
        <v>6</v>
      </c>
      <c r="V79" t="s">
        <v>21</v>
      </c>
    </row>
    <row r="80" spans="1:22" x14ac:dyDescent="0.25">
      <c r="A80" t="s">
        <v>22</v>
      </c>
      <c r="B80">
        <v>387170</v>
      </c>
      <c r="C80">
        <v>572</v>
      </c>
      <c r="D80">
        <v>0</v>
      </c>
      <c r="E80" t="s">
        <v>20</v>
      </c>
      <c r="F80">
        <v>5572374549</v>
      </c>
      <c r="G80" t="str">
        <f>DEC2HEX(F80)</f>
        <v>14C23B015</v>
      </c>
      <c r="H80" t="str">
        <f>DEC2HEX(F80/64)</f>
        <v>5308EC0</v>
      </c>
      <c r="I80">
        <f>HEX2DEC(H80)</f>
        <v>87068352</v>
      </c>
      <c r="J80" t="s">
        <v>23</v>
      </c>
      <c r="K80" t="s">
        <v>24</v>
      </c>
      <c r="L80">
        <v>-2396.663</v>
      </c>
      <c r="M80">
        <v>-735.51729999999998</v>
      </c>
      <c r="N80">
        <v>-1796.663</v>
      </c>
      <c r="O80">
        <v>-1335.5173</v>
      </c>
      <c r="P80">
        <v>39.100667000000001</v>
      </c>
      <c r="Q80">
        <v>-77.211984999999999</v>
      </c>
      <c r="R80">
        <v>39.095267999999997</v>
      </c>
      <c r="S80">
        <v>-77.205027000000001</v>
      </c>
      <c r="T80">
        <v>14.11</v>
      </c>
      <c r="U80">
        <v>5</v>
      </c>
      <c r="V80" t="s">
        <v>21</v>
      </c>
    </row>
    <row r="81" spans="1:22" x14ac:dyDescent="0.25">
      <c r="A81" t="s">
        <v>22</v>
      </c>
      <c r="B81">
        <v>387170</v>
      </c>
      <c r="C81">
        <v>169</v>
      </c>
      <c r="D81">
        <v>0</v>
      </c>
      <c r="E81" t="s">
        <v>20</v>
      </c>
      <c r="F81">
        <v>5572374550</v>
      </c>
      <c r="G81" t="str">
        <f>DEC2HEX(F81)</f>
        <v>14C23B016</v>
      </c>
      <c r="H81" t="str">
        <f>DEC2HEX(F81/64)</f>
        <v>5308EC0</v>
      </c>
      <c r="I81">
        <f>HEX2DEC(H81)</f>
        <v>87068352</v>
      </c>
      <c r="J81" t="s">
        <v>23</v>
      </c>
      <c r="K81" t="s">
        <v>24</v>
      </c>
      <c r="L81">
        <v>1179.1732999999999</v>
      </c>
      <c r="M81">
        <v>3502.4414000000002</v>
      </c>
      <c r="N81">
        <v>1779.1732999999999</v>
      </c>
      <c r="O81">
        <v>2902.4414000000002</v>
      </c>
      <c r="P81">
        <v>39.131034</v>
      </c>
      <c r="Q81">
        <v>-77.165126999999998</v>
      </c>
      <c r="R81">
        <v>39.125635000000003</v>
      </c>
      <c r="S81">
        <v>-77.158170999999996</v>
      </c>
      <c r="T81">
        <v>18</v>
      </c>
      <c r="U81">
        <v>5</v>
      </c>
      <c r="V81" t="s">
        <v>21</v>
      </c>
    </row>
    <row r="82" spans="1:22" x14ac:dyDescent="0.25">
      <c r="A82" t="s">
        <v>22</v>
      </c>
      <c r="B82">
        <v>387170</v>
      </c>
      <c r="C82">
        <v>579</v>
      </c>
      <c r="D82">
        <v>0</v>
      </c>
      <c r="E82" t="s">
        <v>20</v>
      </c>
      <c r="F82">
        <v>5573246997</v>
      </c>
      <c r="G82" t="str">
        <f>DEC2HEX(F82)</f>
        <v>14C310015</v>
      </c>
      <c r="H82" t="str">
        <f>DEC2HEX(F82/64)</f>
        <v>530C400</v>
      </c>
      <c r="I82">
        <f>HEX2DEC(H82)</f>
        <v>87081984</v>
      </c>
      <c r="J82" t="s">
        <v>23</v>
      </c>
      <c r="K82" t="s">
        <v>24</v>
      </c>
      <c r="L82">
        <v>-54.051900000000003</v>
      </c>
      <c r="M82">
        <v>-1169.5452</v>
      </c>
      <c r="N82">
        <v>-54.051900000000003</v>
      </c>
      <c r="O82">
        <v>-1469.5452</v>
      </c>
      <c r="P82">
        <v>39.048065000000001</v>
      </c>
      <c r="Q82">
        <v>-77.126519999999999</v>
      </c>
      <c r="R82">
        <v>39.045364999999997</v>
      </c>
      <c r="S82">
        <v>-77.126519999999999</v>
      </c>
      <c r="T82">
        <v>13.33</v>
      </c>
      <c r="U82">
        <v>6</v>
      </c>
      <c r="V82" t="s">
        <v>21</v>
      </c>
    </row>
    <row r="83" spans="1:22" x14ac:dyDescent="0.25">
      <c r="A83" t="s">
        <v>22</v>
      </c>
      <c r="B83">
        <v>387170</v>
      </c>
      <c r="C83">
        <v>647</v>
      </c>
      <c r="D83">
        <v>0</v>
      </c>
      <c r="E83" t="s">
        <v>20</v>
      </c>
      <c r="F83">
        <v>5573251094</v>
      </c>
      <c r="G83" t="str">
        <f>DEC2HEX(F83)</f>
        <v>14C311016</v>
      </c>
      <c r="H83" t="str">
        <f>DEC2HEX(F83/64)</f>
        <v>530C440</v>
      </c>
      <c r="I83">
        <f>HEX2DEC(H83)</f>
        <v>87082048</v>
      </c>
      <c r="J83" t="s">
        <v>23</v>
      </c>
      <c r="K83" t="s">
        <v>24</v>
      </c>
      <c r="L83">
        <v>-1138.8311000000001</v>
      </c>
      <c r="M83">
        <v>561.28729999999996</v>
      </c>
      <c r="N83">
        <v>-638.83109999999999</v>
      </c>
      <c r="O83">
        <v>761.28729999999996</v>
      </c>
      <c r="P83">
        <v>39.060828999999998</v>
      </c>
      <c r="Q83">
        <v>-77.163580999999994</v>
      </c>
      <c r="R83">
        <v>39.062629000000001</v>
      </c>
      <c r="S83">
        <v>-77.157786999999999</v>
      </c>
      <c r="T83">
        <v>16.010000000000002</v>
      </c>
      <c r="U83">
        <v>7</v>
      </c>
      <c r="V83" t="s">
        <v>21</v>
      </c>
    </row>
    <row r="84" spans="1:22" x14ac:dyDescent="0.25">
      <c r="A84" t="s">
        <v>22</v>
      </c>
      <c r="B84">
        <v>387170</v>
      </c>
      <c r="C84">
        <v>187</v>
      </c>
      <c r="D84">
        <v>0</v>
      </c>
      <c r="E84" t="s">
        <v>20</v>
      </c>
      <c r="F84">
        <v>5573312533</v>
      </c>
      <c r="G84" t="str">
        <f>DEC2HEX(F84)</f>
        <v>14C320015</v>
      </c>
      <c r="H84" t="str">
        <f>DEC2HEX(F84/64)</f>
        <v>530C800</v>
      </c>
      <c r="I84">
        <f>HEX2DEC(H84)</f>
        <v>87083008</v>
      </c>
      <c r="J84" t="s">
        <v>23</v>
      </c>
      <c r="K84" t="s">
        <v>24</v>
      </c>
      <c r="L84">
        <v>261.69170000000003</v>
      </c>
      <c r="M84">
        <v>108.4973</v>
      </c>
      <c r="N84">
        <v>261.69170000000003</v>
      </c>
      <c r="O84">
        <v>108.4973</v>
      </c>
      <c r="P84">
        <v>39.075555000000001</v>
      </c>
      <c r="Q84">
        <v>-77.132300999999998</v>
      </c>
      <c r="R84">
        <v>39.075555000000001</v>
      </c>
      <c r="S84">
        <v>-77.132300999999998</v>
      </c>
      <c r="T84">
        <v>16.95</v>
      </c>
      <c r="U84">
        <v>4</v>
      </c>
      <c r="V84" t="s">
        <v>21</v>
      </c>
    </row>
    <row r="85" spans="1:22" x14ac:dyDescent="0.25">
      <c r="A85" t="s">
        <v>22</v>
      </c>
      <c r="B85">
        <v>387170</v>
      </c>
      <c r="C85">
        <v>584</v>
      </c>
      <c r="D85">
        <v>0</v>
      </c>
      <c r="E85" t="s">
        <v>20</v>
      </c>
      <c r="F85">
        <v>5573505045</v>
      </c>
      <c r="G85" t="str">
        <f>DEC2HEX(F85)</f>
        <v>14C34F015</v>
      </c>
      <c r="H85" t="str">
        <f>DEC2HEX(F85/64)</f>
        <v>530D3C0</v>
      </c>
      <c r="I85">
        <f>HEX2DEC(H85)</f>
        <v>87086016</v>
      </c>
      <c r="J85" t="s">
        <v>23</v>
      </c>
      <c r="K85" t="s">
        <v>24</v>
      </c>
      <c r="L85">
        <v>107.71810000000001</v>
      </c>
      <c r="M85">
        <v>-243.1473</v>
      </c>
      <c r="N85">
        <v>307.71809999999999</v>
      </c>
      <c r="O85">
        <v>-243.1473</v>
      </c>
      <c r="P85">
        <v>39.063020999999999</v>
      </c>
      <c r="Q85">
        <v>-77.121217000000001</v>
      </c>
      <c r="R85">
        <v>39.063020999999999</v>
      </c>
      <c r="S85">
        <v>-77.118898999999999</v>
      </c>
      <c r="T85">
        <v>14.14</v>
      </c>
      <c r="U85">
        <v>10</v>
      </c>
      <c r="V85" t="s">
        <v>21</v>
      </c>
    </row>
    <row r="86" spans="1:22" x14ac:dyDescent="0.25">
      <c r="A86" t="s">
        <v>22</v>
      </c>
      <c r="B86">
        <v>387170</v>
      </c>
      <c r="C86">
        <v>117</v>
      </c>
      <c r="D86">
        <v>0</v>
      </c>
      <c r="E86" t="s">
        <v>20</v>
      </c>
      <c r="F86">
        <v>5573505046</v>
      </c>
      <c r="G86" t="str">
        <f>DEC2HEX(F86)</f>
        <v>14C34F016</v>
      </c>
      <c r="H86" t="str">
        <f>DEC2HEX(F86/64)</f>
        <v>530D3C0</v>
      </c>
      <c r="I86">
        <f>HEX2DEC(H86)</f>
        <v>87086016</v>
      </c>
      <c r="J86" t="s">
        <v>23</v>
      </c>
      <c r="K86" t="s">
        <v>24</v>
      </c>
      <c r="L86">
        <v>6.7843999999999998</v>
      </c>
      <c r="M86">
        <v>-181.2998</v>
      </c>
      <c r="N86">
        <v>106.78440000000001</v>
      </c>
      <c r="O86">
        <v>-281.2998</v>
      </c>
      <c r="P86">
        <v>39.062257000000002</v>
      </c>
      <c r="Q86">
        <v>-77.121139999999997</v>
      </c>
      <c r="R86">
        <v>39.061357000000001</v>
      </c>
      <c r="S86">
        <v>-77.119981999999993</v>
      </c>
      <c r="T86">
        <v>13.1</v>
      </c>
      <c r="U86">
        <v>9</v>
      </c>
      <c r="V86" t="s">
        <v>21</v>
      </c>
    </row>
    <row r="87" spans="1:22" x14ac:dyDescent="0.25">
      <c r="A87" t="s">
        <v>22</v>
      </c>
      <c r="B87">
        <v>387170</v>
      </c>
      <c r="C87">
        <v>562</v>
      </c>
      <c r="D87">
        <v>0</v>
      </c>
      <c r="E87" t="s">
        <v>20</v>
      </c>
      <c r="F87">
        <v>5573505047</v>
      </c>
      <c r="G87" t="str">
        <f>DEC2HEX(F87)</f>
        <v>14C34F017</v>
      </c>
      <c r="H87" t="str">
        <f>DEC2HEX(F87/64)</f>
        <v>530D3C0</v>
      </c>
      <c r="I87">
        <f>HEX2DEC(H87)</f>
        <v>87086016</v>
      </c>
      <c r="J87" t="s">
        <v>23</v>
      </c>
      <c r="K87" t="s">
        <v>24</v>
      </c>
      <c r="L87">
        <v>64.583200000000005</v>
      </c>
      <c r="M87">
        <v>264.71550000000002</v>
      </c>
      <c r="N87">
        <v>-35.416800000000002</v>
      </c>
      <c r="O87">
        <v>264.71550000000002</v>
      </c>
      <c r="P87">
        <v>39.061000999999997</v>
      </c>
      <c r="Q87">
        <v>-77.124628000000001</v>
      </c>
      <c r="R87">
        <v>39.061000999999997</v>
      </c>
      <c r="S87">
        <v>-77.125786000000005</v>
      </c>
      <c r="T87">
        <v>14.86</v>
      </c>
      <c r="U87">
        <v>9</v>
      </c>
      <c r="V87" t="s">
        <v>21</v>
      </c>
    </row>
    <row r="88" spans="1:22" x14ac:dyDescent="0.25">
      <c r="A88" t="s">
        <v>22</v>
      </c>
      <c r="B88">
        <v>387170</v>
      </c>
      <c r="C88">
        <v>171</v>
      </c>
      <c r="D88">
        <v>0</v>
      </c>
      <c r="E88" t="s">
        <v>20</v>
      </c>
      <c r="F88">
        <v>5581557784</v>
      </c>
      <c r="G88" t="str">
        <f>DEC2HEX(F88)</f>
        <v>14CAFD018</v>
      </c>
      <c r="H88" t="str">
        <f>DEC2HEX(F88/64)</f>
        <v>532BF40</v>
      </c>
      <c r="I88">
        <f>HEX2DEC(H88)</f>
        <v>87211840</v>
      </c>
      <c r="J88" t="s">
        <v>23</v>
      </c>
      <c r="K88" t="s">
        <v>24</v>
      </c>
      <c r="L88">
        <v>462.69670000000002</v>
      </c>
      <c r="M88">
        <v>2294.8175000000001</v>
      </c>
      <c r="N88">
        <v>362.69670000000002</v>
      </c>
      <c r="O88">
        <v>2894.8175000000001</v>
      </c>
      <c r="P88">
        <v>39.087482000000001</v>
      </c>
      <c r="Q88">
        <v>-77.149880999999993</v>
      </c>
      <c r="R88">
        <v>39.092880999999998</v>
      </c>
      <c r="S88">
        <v>-77.151039999999995</v>
      </c>
      <c r="T88">
        <v>6.54</v>
      </c>
      <c r="U88">
        <v>9</v>
      </c>
      <c r="V88" t="s">
        <v>21</v>
      </c>
    </row>
    <row r="89" spans="1:22" x14ac:dyDescent="0.25">
      <c r="A89" t="s">
        <v>22</v>
      </c>
      <c r="B89">
        <v>387170</v>
      </c>
      <c r="C89">
        <v>288</v>
      </c>
      <c r="D89">
        <v>0</v>
      </c>
      <c r="E89" t="s">
        <v>20</v>
      </c>
      <c r="F89">
        <v>5583106070</v>
      </c>
      <c r="G89" t="str">
        <f>DEC2HEX(F89)</f>
        <v>14CC77016</v>
      </c>
      <c r="H89" t="str">
        <f>DEC2HEX(F89/64)</f>
        <v>5331DC0</v>
      </c>
      <c r="I89">
        <f>HEX2DEC(H89)</f>
        <v>87236032</v>
      </c>
      <c r="J89" t="s">
        <v>23</v>
      </c>
      <c r="K89" t="s">
        <v>24</v>
      </c>
      <c r="L89">
        <v>-111.1292</v>
      </c>
      <c r="M89">
        <v>-103.62690000000001</v>
      </c>
      <c r="N89">
        <v>-111.1292</v>
      </c>
      <c r="O89">
        <v>-203.62690000000001</v>
      </c>
      <c r="P89">
        <v>39.040044000000002</v>
      </c>
      <c r="Q89">
        <v>-77.160636999999994</v>
      </c>
      <c r="R89">
        <v>39.039144</v>
      </c>
      <c r="S89">
        <v>-77.160636999999994</v>
      </c>
      <c r="T89">
        <v>13.63</v>
      </c>
      <c r="U89">
        <v>4</v>
      </c>
      <c r="V89" t="s">
        <v>21</v>
      </c>
    </row>
    <row r="90" spans="1:22" x14ac:dyDescent="0.25">
      <c r="A90" t="s">
        <v>22</v>
      </c>
      <c r="B90">
        <v>125530</v>
      </c>
      <c r="C90">
        <v>891</v>
      </c>
      <c r="D90">
        <v>1</v>
      </c>
      <c r="E90" t="s">
        <v>20</v>
      </c>
      <c r="F90">
        <v>5589716995</v>
      </c>
      <c r="G90" t="str">
        <f>DEC2HEX(F90)</f>
        <v>14D2C5003</v>
      </c>
      <c r="H90" t="str">
        <f>DEC2HEX(F90/64)</f>
        <v>534B140</v>
      </c>
      <c r="I90">
        <f>HEX2DEC(H90)</f>
        <v>87339328</v>
      </c>
      <c r="J90" t="s">
        <v>23</v>
      </c>
      <c r="K90" t="s">
        <v>24</v>
      </c>
      <c r="L90">
        <v>-254.2747</v>
      </c>
      <c r="M90">
        <v>1668.1466</v>
      </c>
      <c r="N90">
        <v>-854.27470000000005</v>
      </c>
      <c r="O90">
        <v>1368.1466</v>
      </c>
      <c r="P90">
        <v>39.069389999999999</v>
      </c>
      <c r="Q90">
        <v>-77.142408000000003</v>
      </c>
      <c r="R90">
        <v>39.066690000000001</v>
      </c>
      <c r="S90">
        <v>-77.149360000000001</v>
      </c>
      <c r="T90">
        <v>15</v>
      </c>
      <c r="U90">
        <v>5</v>
      </c>
      <c r="V90" t="s">
        <v>21</v>
      </c>
    </row>
    <row r="91" spans="1:22" x14ac:dyDescent="0.25">
      <c r="A91" t="s">
        <v>22</v>
      </c>
      <c r="B91">
        <v>387170</v>
      </c>
      <c r="C91">
        <v>622</v>
      </c>
      <c r="D91">
        <v>0</v>
      </c>
      <c r="E91" t="s">
        <v>20</v>
      </c>
      <c r="F91">
        <v>5595377685</v>
      </c>
      <c r="G91" t="str">
        <f>DEC2HEX(F91)</f>
        <v>14D82B015</v>
      </c>
      <c r="H91" t="str">
        <f>DEC2HEX(F91/64)</f>
        <v>5360AC0</v>
      </c>
      <c r="I91">
        <f>HEX2DEC(H91)</f>
        <v>87427776</v>
      </c>
      <c r="J91" t="s">
        <v>23</v>
      </c>
      <c r="K91" t="s">
        <v>24</v>
      </c>
      <c r="L91">
        <v>-149.52979999999999</v>
      </c>
      <c r="M91">
        <v>61.480600000000003</v>
      </c>
      <c r="N91">
        <v>-249.52979999999999</v>
      </c>
      <c r="O91">
        <v>-138.51939999999999</v>
      </c>
      <c r="P91">
        <v>39.232081999999998</v>
      </c>
      <c r="Q91">
        <v>-77.282303999999996</v>
      </c>
      <c r="R91">
        <v>39.230283</v>
      </c>
      <c r="S91">
        <v>-77.283466000000004</v>
      </c>
      <c r="T91">
        <v>23.24</v>
      </c>
      <c r="U91">
        <v>11</v>
      </c>
      <c r="V91" t="s">
        <v>21</v>
      </c>
    </row>
    <row r="92" spans="1:22" x14ac:dyDescent="0.25">
      <c r="A92" t="s">
        <v>22</v>
      </c>
      <c r="B92">
        <v>387170</v>
      </c>
      <c r="C92">
        <v>590</v>
      </c>
      <c r="D92">
        <v>0</v>
      </c>
      <c r="E92" t="s">
        <v>20</v>
      </c>
      <c r="F92">
        <v>5595377686</v>
      </c>
      <c r="G92" t="str">
        <f>DEC2HEX(F92)</f>
        <v>14D82B016</v>
      </c>
      <c r="H92" t="str">
        <f>DEC2HEX(F92/64)</f>
        <v>5360AC0</v>
      </c>
      <c r="I92">
        <f>HEX2DEC(H92)</f>
        <v>87427776</v>
      </c>
      <c r="J92" t="s">
        <v>23</v>
      </c>
      <c r="K92" t="s">
        <v>24</v>
      </c>
      <c r="L92">
        <v>-964.08410000000003</v>
      </c>
      <c r="M92">
        <v>-559.72799999999995</v>
      </c>
      <c r="N92">
        <v>-1564.0841</v>
      </c>
      <c r="O92">
        <v>-459.72800000000001</v>
      </c>
      <c r="P92">
        <v>39.226539000000002</v>
      </c>
      <c r="Q92">
        <v>-77.292008999999993</v>
      </c>
      <c r="R92">
        <v>39.227437999999999</v>
      </c>
      <c r="S92">
        <v>-77.298978000000005</v>
      </c>
      <c r="T92">
        <v>14.14</v>
      </c>
      <c r="U92">
        <v>6</v>
      </c>
      <c r="V92" t="s">
        <v>21</v>
      </c>
    </row>
    <row r="93" spans="1:22" x14ac:dyDescent="0.25">
      <c r="A93" t="s">
        <v>22</v>
      </c>
      <c r="B93">
        <v>387170</v>
      </c>
      <c r="C93">
        <v>300</v>
      </c>
      <c r="D93">
        <v>0</v>
      </c>
      <c r="E93" t="s">
        <v>20</v>
      </c>
      <c r="F93">
        <v>5605969941</v>
      </c>
      <c r="G93" t="str">
        <f>DEC2HEX(F93)</f>
        <v>14E245015</v>
      </c>
      <c r="H93" t="str">
        <f>DEC2HEX(F93/64)</f>
        <v>5389140</v>
      </c>
      <c r="I93">
        <f>HEX2DEC(H93)</f>
        <v>87593280</v>
      </c>
      <c r="J93" t="s">
        <v>23</v>
      </c>
      <c r="K93" t="s">
        <v>24</v>
      </c>
      <c r="L93">
        <v>-361.89490000000001</v>
      </c>
      <c r="M93">
        <v>-493.91449999999998</v>
      </c>
      <c r="N93">
        <v>-161.89490000000001</v>
      </c>
      <c r="O93">
        <v>-793.91449999999998</v>
      </c>
      <c r="P93">
        <v>39.054357000000003</v>
      </c>
      <c r="Q93">
        <v>-77.123191000000006</v>
      </c>
      <c r="R93">
        <v>39.051658000000003</v>
      </c>
      <c r="S93">
        <v>-77.120874000000001</v>
      </c>
      <c r="T93">
        <v>17.05</v>
      </c>
      <c r="U93">
        <v>6</v>
      </c>
      <c r="V93" t="s">
        <v>21</v>
      </c>
    </row>
    <row r="94" spans="1:22" x14ac:dyDescent="0.25">
      <c r="A94" t="s">
        <v>22</v>
      </c>
      <c r="B94">
        <v>387170</v>
      </c>
      <c r="C94">
        <v>662</v>
      </c>
      <c r="D94">
        <v>0</v>
      </c>
      <c r="E94" t="s">
        <v>20</v>
      </c>
      <c r="F94">
        <v>5605969943</v>
      </c>
      <c r="G94" t="str">
        <f>DEC2HEX(F94)</f>
        <v>14E245017</v>
      </c>
      <c r="H94" t="str">
        <f>DEC2HEX(F94/64)</f>
        <v>5389140</v>
      </c>
      <c r="I94">
        <f>HEX2DEC(H94)</f>
        <v>87593280</v>
      </c>
      <c r="J94" t="s">
        <v>23</v>
      </c>
      <c r="K94" t="s">
        <v>24</v>
      </c>
      <c r="L94">
        <v>-901.6816</v>
      </c>
      <c r="M94">
        <v>-902.64679999999998</v>
      </c>
      <c r="N94">
        <v>-701.6816</v>
      </c>
      <c r="O94">
        <v>-302.64679999999998</v>
      </c>
      <c r="P94">
        <v>39.050750000000001</v>
      </c>
      <c r="Q94">
        <v>-77.131639000000007</v>
      </c>
      <c r="R94">
        <v>39.056148999999998</v>
      </c>
      <c r="S94">
        <v>-77.129322000000002</v>
      </c>
      <c r="T94">
        <v>5.07</v>
      </c>
      <c r="U94">
        <v>9</v>
      </c>
      <c r="V94" t="s">
        <v>21</v>
      </c>
    </row>
    <row r="95" spans="1:22" x14ac:dyDescent="0.25">
      <c r="A95" t="s">
        <v>22</v>
      </c>
      <c r="B95">
        <v>387170</v>
      </c>
      <c r="C95">
        <v>233</v>
      </c>
      <c r="D95">
        <v>0</v>
      </c>
      <c r="E95" t="s">
        <v>20</v>
      </c>
      <c r="F95">
        <v>5610631191</v>
      </c>
      <c r="G95" t="str">
        <f>DEC2HEX(F95)</f>
        <v>14E6B7017</v>
      </c>
      <c r="H95" t="str">
        <f>DEC2HEX(F95/64)</f>
        <v>539ADC0</v>
      </c>
      <c r="I95">
        <f>HEX2DEC(H95)</f>
        <v>87666112</v>
      </c>
      <c r="J95" t="s">
        <v>23</v>
      </c>
      <c r="K95" t="s">
        <v>24</v>
      </c>
      <c r="L95">
        <v>-1657.3989999999999</v>
      </c>
      <c r="M95">
        <v>-2113.1082999999999</v>
      </c>
      <c r="N95">
        <v>-1357.3989999999999</v>
      </c>
      <c r="O95">
        <v>-2113.1082999999999</v>
      </c>
      <c r="P95">
        <v>39.180633</v>
      </c>
      <c r="Q95">
        <v>-77.284627999999998</v>
      </c>
      <c r="R95">
        <v>39.180633</v>
      </c>
      <c r="S95">
        <v>-77.281143999999998</v>
      </c>
      <c r="T95">
        <v>13.23</v>
      </c>
      <c r="U95">
        <v>5</v>
      </c>
      <c r="V95" t="s">
        <v>21</v>
      </c>
    </row>
    <row r="96" spans="1:22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e">
        <f>DEC2HEX(F96)</f>
        <v>#VALUE!</v>
      </c>
      <c r="H96" t="e">
        <f>DEC2HEX(F96/64)</f>
        <v>#VALUE!</v>
      </c>
      <c r="I96" t="e">
        <f>HEX2DEC(H96)</f>
        <v>#VALUE!</v>
      </c>
      <c r="J96" t="s">
        <v>31</v>
      </c>
      <c r="K96" t="s">
        <v>32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39.059114000000001</v>
      </c>
      <c r="S96">
        <v>-77.123282000000003</v>
      </c>
      <c r="T96">
        <v>0</v>
      </c>
      <c r="U96">
        <v>35</v>
      </c>
      <c r="V96">
        <v>0</v>
      </c>
    </row>
    <row r="97" spans="1:22" x14ac:dyDescent="0.25">
      <c r="A97" t="s">
        <v>33</v>
      </c>
      <c r="B97" t="s">
        <v>34</v>
      </c>
      <c r="C97" t="s">
        <v>35</v>
      </c>
      <c r="D97" t="s">
        <v>36</v>
      </c>
      <c r="E97" t="s">
        <v>29</v>
      </c>
      <c r="F97" t="s">
        <v>37</v>
      </c>
      <c r="G97" t="e">
        <f>DEC2HEX(F97)</f>
        <v>#VALUE!</v>
      </c>
      <c r="H97" t="e">
        <f>DEC2HEX(F97/64)</f>
        <v>#VALUE!</v>
      </c>
      <c r="I97" t="e">
        <f>HEX2DEC(H97)</f>
        <v>#VALUE!</v>
      </c>
      <c r="J97" t="s">
        <v>38</v>
      </c>
      <c r="K97" t="s">
        <v>39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39.213076000000001</v>
      </c>
      <c r="S97">
        <v>-77.274023999999997</v>
      </c>
      <c r="T97">
        <v>0</v>
      </c>
      <c r="U97">
        <v>9</v>
      </c>
      <c r="V97">
        <v>0</v>
      </c>
    </row>
    <row r="98" spans="1:22" x14ac:dyDescent="0.25">
      <c r="A98" t="s">
        <v>40</v>
      </c>
      <c r="B98" t="s">
        <v>41</v>
      </c>
      <c r="C98" t="s">
        <v>42</v>
      </c>
      <c r="D98" t="s">
        <v>43</v>
      </c>
      <c r="E98" t="s">
        <v>29</v>
      </c>
      <c r="F98" t="s">
        <v>44</v>
      </c>
      <c r="G98" t="e">
        <f>DEC2HEX(F98)</f>
        <v>#VALUE!</v>
      </c>
      <c r="H98" t="e">
        <f>DEC2HEX(F98/64)</f>
        <v>#VALUE!</v>
      </c>
      <c r="I98" t="e">
        <f>HEX2DEC(H98)</f>
        <v>#VALUE!</v>
      </c>
      <c r="J98" t="s">
        <v>45</v>
      </c>
      <c r="K98" t="s">
        <v>46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39.230079000000003</v>
      </c>
      <c r="S98">
        <v>-77.283944000000005</v>
      </c>
      <c r="T98">
        <v>0</v>
      </c>
      <c r="U98">
        <v>10</v>
      </c>
      <c r="V98">
        <v>0</v>
      </c>
    </row>
    <row r="99" spans="1:22" x14ac:dyDescent="0.25">
      <c r="A99" t="s">
        <v>47</v>
      </c>
      <c r="B99" t="s">
        <v>48</v>
      </c>
      <c r="C99" t="s">
        <v>49</v>
      </c>
      <c r="D99" t="s">
        <v>50</v>
      </c>
      <c r="E99" t="s">
        <v>29</v>
      </c>
      <c r="F99" t="s">
        <v>51</v>
      </c>
      <c r="G99" t="e">
        <f>DEC2HEX(F99)</f>
        <v>#VALUE!</v>
      </c>
      <c r="H99" t="e">
        <f>DEC2HEX(F99/64)</f>
        <v>#VALUE!</v>
      </c>
      <c r="I99" t="e">
        <f>HEX2DEC(H99)</f>
        <v>#VALUE!</v>
      </c>
      <c r="J99" t="s">
        <v>52</v>
      </c>
      <c r="K99" t="s">
        <v>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39.040033000000001</v>
      </c>
      <c r="S99">
        <v>-77.163066999999998</v>
      </c>
      <c r="T99">
        <v>0</v>
      </c>
      <c r="U99">
        <v>4</v>
      </c>
      <c r="V99">
        <v>0</v>
      </c>
    </row>
  </sheetData>
  <autoFilter ref="A1:V1" xr:uid="{D6046608-D9FA-4187-988B-10F6B33E246C}"/>
  <sortState xmlns:xlrd2="http://schemas.microsoft.com/office/spreadsheetml/2017/richdata2" ref="A2:V99">
    <sortCondition ref="I2:I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ALL_Estimate_mnc_260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Soltanian</cp:lastModifiedBy>
  <dcterms:created xsi:type="dcterms:W3CDTF">2025-11-05T22:16:19Z</dcterms:created>
  <dcterms:modified xsi:type="dcterms:W3CDTF">2025-11-05T22:16:19Z</dcterms:modified>
</cp:coreProperties>
</file>