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Projects\BTS_Location_Estimation_C#\"/>
    </mc:Choice>
  </mc:AlternateContent>
  <xr:revisionPtr revIDLastSave="0" documentId="8_{AF3A9564-3939-4B9D-95EF-771E03BAD7EA}" xr6:coauthVersionLast="47" xr6:coauthVersionMax="47" xr10:uidLastSave="{00000000-0000-0000-0000-000000000000}"/>
  <bookViews>
    <workbookView xWindow="28680" yWindow="-120" windowWidth="29040" windowHeight="17520" xr2:uid="{6EBB753C-6FC1-4242-9040-63DD11AE0695}"/>
  </bookViews>
  <sheets>
    <sheet name="ALL_Estimate_mnc_410" sheetId="1" r:id="rId1"/>
  </sheets>
  <calcPr calcId="0"/>
</workbook>
</file>

<file path=xl/calcChain.xml><?xml version="1.0" encoding="utf-8"?>
<calcChain xmlns="http://schemas.openxmlformats.org/spreadsheetml/2006/main">
  <c r="H41" i="1" l="1"/>
  <c r="H42" i="1"/>
  <c r="H43" i="1"/>
  <c r="H44" i="1"/>
  <c r="H45" i="1"/>
  <c r="H46" i="1"/>
  <c r="H47" i="1"/>
  <c r="H48" i="1"/>
  <c r="H49" i="1"/>
  <c r="H50" i="1"/>
  <c r="I50" i="1" s="1"/>
  <c r="H51" i="1"/>
  <c r="H52" i="1"/>
  <c r="H53" i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H62" i="1"/>
  <c r="H63" i="1"/>
  <c r="I63" i="1" s="1"/>
  <c r="H64" i="1"/>
  <c r="I64" i="1" s="1"/>
  <c r="H65" i="1"/>
  <c r="H66" i="1"/>
  <c r="H67" i="1"/>
  <c r="H68" i="1"/>
  <c r="H69" i="1"/>
  <c r="H70" i="1"/>
  <c r="I70" i="1" s="1"/>
  <c r="H71" i="1"/>
  <c r="I71" i="1" s="1"/>
  <c r="H72" i="1"/>
  <c r="I72" i="1" s="1"/>
  <c r="H73" i="1"/>
  <c r="I73" i="1" s="1"/>
  <c r="H74" i="1"/>
  <c r="I74" i="1" s="1"/>
  <c r="H75" i="1"/>
  <c r="H76" i="1"/>
  <c r="H77" i="1"/>
  <c r="H78" i="1"/>
  <c r="H79" i="1"/>
  <c r="H80" i="1"/>
  <c r="H81" i="1"/>
  <c r="I81" i="1" s="1"/>
  <c r="H82" i="1"/>
  <c r="I82" i="1" s="1"/>
  <c r="H83" i="1"/>
  <c r="I83" i="1" s="1"/>
  <c r="H84" i="1"/>
  <c r="I84" i="1" s="1"/>
  <c r="H85" i="1"/>
  <c r="I85" i="1" s="1"/>
  <c r="H86" i="1"/>
  <c r="H87" i="1"/>
  <c r="I87" i="1" s="1"/>
  <c r="H88" i="1"/>
  <c r="I88" i="1" s="1"/>
  <c r="H89" i="1"/>
  <c r="I89" i="1" s="1"/>
  <c r="H90" i="1"/>
  <c r="H91" i="1"/>
  <c r="H92" i="1"/>
  <c r="H93" i="1"/>
  <c r="H94" i="1"/>
  <c r="H95" i="1"/>
  <c r="I95" i="1" s="1"/>
  <c r="H96" i="1"/>
  <c r="H97" i="1"/>
  <c r="H98" i="1"/>
  <c r="I98" i="1" s="1"/>
  <c r="H99" i="1"/>
  <c r="H40" i="1"/>
  <c r="I40" i="1" s="1"/>
  <c r="I30" i="1"/>
  <c r="I31" i="1"/>
  <c r="I32" i="1"/>
  <c r="I33" i="1"/>
  <c r="I34" i="1"/>
  <c r="I38" i="1"/>
  <c r="I16" i="1"/>
  <c r="I18" i="1"/>
  <c r="I28" i="1"/>
  <c r="I29" i="1"/>
  <c r="I35" i="1"/>
  <c r="I36" i="1"/>
  <c r="I53" i="1"/>
  <c r="I75" i="1"/>
  <c r="I76" i="1"/>
  <c r="I77" i="1"/>
  <c r="I78" i="1"/>
  <c r="I79" i="1"/>
  <c r="I80" i="1"/>
  <c r="I5" i="1"/>
  <c r="I6" i="1"/>
  <c r="I7" i="1"/>
  <c r="I8" i="1"/>
  <c r="I9" i="1"/>
  <c r="I10" i="1"/>
  <c r="I11" i="1"/>
  <c r="I12" i="1"/>
  <c r="I94" i="1"/>
  <c r="I41" i="1"/>
  <c r="I42" i="1"/>
  <c r="I43" i="1"/>
  <c r="I44" i="1"/>
  <c r="I45" i="1"/>
  <c r="I46" i="1"/>
  <c r="I47" i="1"/>
  <c r="I48" i="1"/>
  <c r="I49" i="1"/>
  <c r="I51" i="1"/>
  <c r="I52" i="1"/>
  <c r="I61" i="1"/>
  <c r="I62" i="1"/>
  <c r="I86" i="1"/>
  <c r="I90" i="1"/>
  <c r="I65" i="1"/>
  <c r="I66" i="1"/>
  <c r="I67" i="1"/>
  <c r="I68" i="1"/>
  <c r="I69" i="1"/>
  <c r="I91" i="1"/>
  <c r="I92" i="1"/>
  <c r="I93" i="1"/>
  <c r="I96" i="1"/>
  <c r="I97" i="1"/>
  <c r="I99" i="1"/>
  <c r="H2" i="1"/>
  <c r="I2" i="1" s="1"/>
  <c r="H3" i="1"/>
  <c r="I3" i="1" s="1"/>
  <c r="H4" i="1"/>
  <c r="I4" i="1" s="1"/>
  <c r="H5" i="1"/>
  <c r="H6" i="1"/>
  <c r="H7" i="1"/>
  <c r="H8" i="1"/>
  <c r="H9" i="1"/>
  <c r="H10" i="1"/>
  <c r="H11" i="1"/>
  <c r="H12" i="1"/>
  <c r="H13" i="1"/>
  <c r="I13" i="1" s="1"/>
  <c r="G13" i="1"/>
  <c r="G12" i="1"/>
  <c r="G11" i="1"/>
  <c r="G10" i="1"/>
  <c r="G9" i="1"/>
  <c r="G8" i="1"/>
  <c r="G7" i="1"/>
  <c r="G6" i="1"/>
  <c r="G5" i="1"/>
  <c r="G4" i="1"/>
  <c r="G3" i="1"/>
  <c r="G2" i="1"/>
  <c r="G99" i="1"/>
  <c r="G98" i="1"/>
  <c r="G97" i="1"/>
  <c r="G96" i="1"/>
  <c r="G93" i="1"/>
  <c r="G92" i="1"/>
  <c r="G91" i="1"/>
  <c r="G87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90" i="1"/>
  <c r="G89" i="1"/>
  <c r="G88" i="1"/>
  <c r="G86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94" i="1"/>
  <c r="G95" i="1"/>
  <c r="H39" i="1"/>
  <c r="I39" i="1" s="1"/>
  <c r="G39" i="1"/>
  <c r="H36" i="1"/>
  <c r="G36" i="1"/>
  <c r="H35" i="1"/>
  <c r="G35" i="1"/>
  <c r="H29" i="1"/>
  <c r="G29" i="1"/>
  <c r="H28" i="1"/>
  <c r="G28" i="1"/>
  <c r="H23" i="1"/>
  <c r="I23" i="1" s="1"/>
  <c r="G23" i="1"/>
  <c r="H22" i="1"/>
  <c r="I22" i="1" s="1"/>
  <c r="G22" i="1"/>
  <c r="H18" i="1"/>
  <c r="G18" i="1"/>
  <c r="H16" i="1"/>
  <c r="G16" i="1"/>
  <c r="H38" i="1"/>
  <c r="G38" i="1"/>
  <c r="H34" i="1"/>
  <c r="G34" i="1"/>
  <c r="H33" i="1"/>
  <c r="G33" i="1"/>
  <c r="H32" i="1"/>
  <c r="G32" i="1"/>
  <c r="H27" i="1"/>
  <c r="I27" i="1" s="1"/>
  <c r="G27" i="1"/>
  <c r="H26" i="1"/>
  <c r="I26" i="1" s="1"/>
  <c r="G26" i="1"/>
  <c r="H21" i="1"/>
  <c r="I21" i="1" s="1"/>
  <c r="G21" i="1"/>
  <c r="H17" i="1"/>
  <c r="I17" i="1" s="1"/>
  <c r="G17" i="1"/>
  <c r="H15" i="1"/>
  <c r="I15" i="1" s="1"/>
  <c r="G15" i="1"/>
  <c r="H37" i="1"/>
  <c r="I37" i="1" s="1"/>
  <c r="G37" i="1"/>
  <c r="H31" i="1"/>
  <c r="G31" i="1"/>
  <c r="H30" i="1"/>
  <c r="G30" i="1"/>
  <c r="H25" i="1"/>
  <c r="I25" i="1" s="1"/>
  <c r="G25" i="1"/>
  <c r="H24" i="1"/>
  <c r="I24" i="1" s="1"/>
  <c r="G24" i="1"/>
  <c r="H20" i="1"/>
  <c r="I20" i="1" s="1"/>
  <c r="G20" i="1"/>
  <c r="H19" i="1"/>
  <c r="I19" i="1" s="1"/>
  <c r="G19" i="1"/>
  <c r="H14" i="1"/>
  <c r="I14" i="1" s="1"/>
  <c r="G14" i="1"/>
</calcChain>
</file>

<file path=xl/sharedStrings.xml><?xml version="1.0" encoding="utf-8"?>
<sst xmlns="http://schemas.openxmlformats.org/spreadsheetml/2006/main" count="464" uniqueCount="57">
  <si>
    <t>Technology</t>
  </si>
  <si>
    <t>Channel</t>
  </si>
  <si>
    <t>CellId</t>
  </si>
  <si>
    <t>BeamIndex</t>
  </si>
  <si>
    <t>Type</t>
  </si>
  <si>
    <t>cellIdentity</t>
  </si>
  <si>
    <t>mnc</t>
  </si>
  <si>
    <t>mcc</t>
  </si>
  <si>
    <t>xhat1</t>
  </si>
  <si>
    <t>yhat1</t>
  </si>
  <si>
    <t>xhat2</t>
  </si>
  <si>
    <t>yhat2</t>
  </si>
  <si>
    <t>est_Lat1</t>
  </si>
  <si>
    <t>est_Lon1</t>
  </si>
  <si>
    <t>est_Lat2</t>
  </si>
  <si>
    <t>est_Lon2</t>
  </si>
  <si>
    <t>Max_cinr</t>
  </si>
  <si>
    <t>Num_points</t>
  </si>
  <si>
    <t>Confidence</t>
  </si>
  <si>
    <t>LTE</t>
  </si>
  <si>
    <t>Sector</t>
  </si>
  <si>
    <t>410;100</t>
  </si>
  <si>
    <t>310;313</t>
  </si>
  <si>
    <t>High</t>
  </si>
  <si>
    <t>NR</t>
  </si>
  <si>
    <t>LTE/LTE/LTE/LTE/NR/NR/NR/NR/NR/NR/LTE</t>
  </si>
  <si>
    <t>9820/66486/66986/66986/658080/658080/658080/0/0/0/9820</t>
  </si>
  <si>
    <t>6/6/6/484/77/178/395/856/178/395/484</t>
  </si>
  <si>
    <t>////0/0/0/0/0/0/</t>
  </si>
  <si>
    <t>cluster entry</t>
  </si>
  <si>
    <t>18498453/18498326/18498531/18498532/25693970463/25694473272/25694473297/25694473248/25694473272/25694473297/18498454</t>
  </si>
  <si>
    <t>410;100/410;100/410;100/410;100/410;100/410;100/410;100/410;100/410;100/410;100/410;100</t>
  </si>
  <si>
    <t>310;313/310;313/310;313/310;313/310;313/310;313/310;313/310;313/310;313/310;313/310;313</t>
  </si>
  <si>
    <t>LTE/LTE/LTE/LTE/LTE/LTE/LTE/LTE/LTE</t>
  </si>
  <si>
    <t>9820/9820/9820/66486/66486/66486/66986/66986/66986</t>
  </si>
  <si>
    <t>147/260/292/147/260/292/147/260/292</t>
  </si>
  <si>
    <t>////////</t>
  </si>
  <si>
    <t>18514069/18514070/19252630/18513942/18513943/19252503/18514142/18514143/19252703</t>
  </si>
  <si>
    <t>410;100/410;100/410;100/410;100/410;100/410;100/410;100/410;100/410;100</t>
  </si>
  <si>
    <t>310;313/310;313/310;313/310;313/310;313/310;313/310;313/310;313/310;313</t>
  </si>
  <si>
    <t>LTE/LTE/LTE/LTE/LTE/LTE/NR/NR/NR/NR/NR/NR/NR/NR/NR/NR/NR/NR/NR/NR/NR/NR/NR/NR/NR/NR/NR/NR/NR/NR/NR/NR/NR/NR/NR/NR/NR/NR/NR/NR/NR/NR/NR/NR/NR/NR</t>
  </si>
  <si>
    <t>9820/9820/66486/66486/66986/66986/658080/658080/658080/658080/658080/658080/658080/658080/658080/658080/658080/658080/658080/658080/658080/658080/658080/0/0/0/0/0/0/0/0/0/0/0/0/0/0/0/0/0/0/658080/0/658080/658080/0</t>
  </si>
  <si>
    <t>461/426/461/426/461/426/171/171/171/171/171/849/849/849/849/322/322/322/322/558/558/558/558/171/171/171/171/171/849/849/849/849/849/322/322/322/322/558/558/558/558/558/558/849/322/322</t>
  </si>
  <si>
    <t>//////4/3/1/0/2/1/0/3/5/1/4/2/5/3/1/4/2/4/1/3/0/2/0/4/1/3/5/5/1/0/4/3/1/4/2/5/5/4/0/2</t>
  </si>
  <si>
    <t>18625430/18625431/18625303/18625304/18625503/18625504/25602821146/25602821146/25602821146/25602821146/25602821146/25602821170/25602821170/25602821170/25602821170/25602821198/25602821198/25602821198/25602821198/25602821222/25602821222/25602821222/25602821222/25602821146/25602821146/25602821146/25602821146/25602821146/25602821170/25602821170/25602821170/25602821170/25602821170/25602821198/25602821198/25602821198/25602821198/25602821222/25602821222/25602821222/25602821222/25602821222/25602821222/25602821170/25602821198/25602821198</t>
  </si>
  <si>
    <t>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/410;100</t>
  </si>
  <si>
    <t>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/310;313</t>
  </si>
  <si>
    <t>LTE/LTE/NR/NR</t>
  </si>
  <si>
    <t>66986/66486/658080/0</t>
  </si>
  <si>
    <t>308/308/322/322</t>
  </si>
  <si>
    <t>//3/3</t>
  </si>
  <si>
    <t>18071518/18071318/25602821198/25602821198</t>
  </si>
  <si>
    <t>410;100/410;100/410;100/410;100</t>
  </si>
  <si>
    <t>310;313/310;313/310;313/310;313</t>
  </si>
  <si>
    <t>cellIDhex</t>
  </si>
  <si>
    <t>eNodbhex</t>
  </si>
  <si>
    <t>enodeb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</si>
</sst>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DAA7-C9AB-4C46-8E79-59B899C9B436}">
  <dimension ref="A1:V99"/>
  <sheetViews>
    <sheetView tabSelected="1" topLeftCell="A22" workbookViewId="0">
      <selection activeCell="B40" sqref="B40"/>
    </sheetView>
  </sheetViews>
  <sheetFormatPr defaultRowHeight="15" x14ac:dyDescent="0.25"/>
  <cols>
    <col min="6" max="6" width="13" customWidth="1"/>
    <col min="7" max="7" width="10" bestFit="1" customWidth="1"/>
    <col min="8" max="9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56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5">
      <c r="G2" t="str">
        <f>DEC2HEX(F2)</f>
        <v>0</v>
      </c>
      <c r="H2" t="str">
        <f>DEC2HEX(F2/16384)</f>
        <v>0</v>
      </c>
      <c r="I2">
        <f>HEX2DEC(H2)</f>
        <v>0</v>
      </c>
    </row>
    <row r="3" spans="1:22" x14ac:dyDescent="0.25">
      <c r="G3" t="str">
        <f>DEC2HEX(F3)</f>
        <v>0</v>
      </c>
      <c r="H3" t="str">
        <f>DEC2HEX(F3/16384)</f>
        <v>0</v>
      </c>
      <c r="I3">
        <f>HEX2DEC(H3)</f>
        <v>0</v>
      </c>
    </row>
    <row r="4" spans="1:22" x14ac:dyDescent="0.25">
      <c r="G4" t="str">
        <f>DEC2HEX(F4)</f>
        <v>0</v>
      </c>
      <c r="H4" t="str">
        <f>DEC2HEX(F4/16384)</f>
        <v>0</v>
      </c>
      <c r="I4">
        <f>HEX2DEC(H4)</f>
        <v>0</v>
      </c>
    </row>
    <row r="5" spans="1:22" x14ac:dyDescent="0.25">
      <c r="G5" t="str">
        <f>DEC2HEX(F5)</f>
        <v>0</v>
      </c>
      <c r="H5" t="str">
        <f>DEC2HEX(F5/16384)</f>
        <v>0</v>
      </c>
      <c r="I5">
        <f>HEX2DEC(H5)</f>
        <v>0</v>
      </c>
    </row>
    <row r="6" spans="1:22" x14ac:dyDescent="0.25">
      <c r="G6" t="str">
        <f>DEC2HEX(F6)</f>
        <v>0</v>
      </c>
      <c r="H6" t="str">
        <f>DEC2HEX(F6/16384)</f>
        <v>0</v>
      </c>
      <c r="I6">
        <f>HEX2DEC(H6)</f>
        <v>0</v>
      </c>
    </row>
    <row r="7" spans="1:22" x14ac:dyDescent="0.25">
      <c r="G7" t="str">
        <f>DEC2HEX(F7)</f>
        <v>0</v>
      </c>
      <c r="H7" t="str">
        <f>DEC2HEX(F7/16384)</f>
        <v>0</v>
      </c>
      <c r="I7">
        <f>HEX2DEC(H7)</f>
        <v>0</v>
      </c>
    </row>
    <row r="8" spans="1:22" x14ac:dyDescent="0.25">
      <c r="G8" t="str">
        <f>DEC2HEX(F8)</f>
        <v>0</v>
      </c>
      <c r="H8" t="str">
        <f>DEC2HEX(F8/16384)</f>
        <v>0</v>
      </c>
      <c r="I8">
        <f>HEX2DEC(H8)</f>
        <v>0</v>
      </c>
    </row>
    <row r="9" spans="1:22" x14ac:dyDescent="0.25">
      <c r="G9" t="str">
        <f>DEC2HEX(F9)</f>
        <v>0</v>
      </c>
      <c r="H9" t="str">
        <f>DEC2HEX(F9/16384)</f>
        <v>0</v>
      </c>
      <c r="I9">
        <f>HEX2DEC(H9)</f>
        <v>0</v>
      </c>
    </row>
    <row r="10" spans="1:22" x14ac:dyDescent="0.25">
      <c r="G10" t="str">
        <f>DEC2HEX(F10)</f>
        <v>0</v>
      </c>
      <c r="H10" t="str">
        <f>DEC2HEX(F10/16384)</f>
        <v>0</v>
      </c>
      <c r="I10">
        <f>HEX2DEC(H10)</f>
        <v>0</v>
      </c>
    </row>
    <row r="11" spans="1:22" x14ac:dyDescent="0.25">
      <c r="G11" t="str">
        <f>DEC2HEX(F11)</f>
        <v>0</v>
      </c>
      <c r="H11" t="str">
        <f>DEC2HEX(F11/16384)</f>
        <v>0</v>
      </c>
      <c r="I11">
        <f>HEX2DEC(H11)</f>
        <v>0</v>
      </c>
    </row>
    <row r="12" spans="1:22" x14ac:dyDescent="0.25">
      <c r="G12" t="str">
        <f>DEC2HEX(F12)</f>
        <v>0</v>
      </c>
      <c r="H12" t="str">
        <f>DEC2HEX(F12/16384)</f>
        <v>0</v>
      </c>
      <c r="I12">
        <f>HEX2DEC(H12)</f>
        <v>0</v>
      </c>
    </row>
    <row r="13" spans="1:22" x14ac:dyDescent="0.25">
      <c r="G13" t="str">
        <f>DEC2HEX(F13)</f>
        <v>0</v>
      </c>
      <c r="H13" t="str">
        <f>DEC2HEX(F13/16384)</f>
        <v>0</v>
      </c>
      <c r="I13">
        <f>HEX2DEC(H13)</f>
        <v>0</v>
      </c>
    </row>
    <row r="14" spans="1:22" x14ac:dyDescent="0.25">
      <c r="A14" t="s">
        <v>19</v>
      </c>
      <c r="B14">
        <v>9820</v>
      </c>
      <c r="C14">
        <v>485</v>
      </c>
      <c r="E14" t="s">
        <v>20</v>
      </c>
      <c r="F14">
        <v>17992599</v>
      </c>
      <c r="G14" t="str">
        <f>DEC2HEX(F14)</f>
        <v>1128B97</v>
      </c>
      <c r="H14" t="str">
        <f>DEC2HEX(F14/256)</f>
        <v>1128B</v>
      </c>
      <c r="I14">
        <f>HEX2DEC(H14)</f>
        <v>70283</v>
      </c>
      <c r="J14" t="s">
        <v>21</v>
      </c>
      <c r="K14" t="s">
        <v>22</v>
      </c>
      <c r="L14">
        <v>558.88170000000002</v>
      </c>
      <c r="M14">
        <v>1028.463</v>
      </c>
      <c r="N14">
        <v>558.88170000000002</v>
      </c>
      <c r="O14">
        <v>1128.463</v>
      </c>
      <c r="P14">
        <v>39.211241999999999</v>
      </c>
      <c r="Q14">
        <v>-77.238973999999999</v>
      </c>
      <c r="R14">
        <v>39.212142</v>
      </c>
      <c r="S14">
        <v>-77.238973999999999</v>
      </c>
      <c r="T14">
        <v>9.6300000000000008</v>
      </c>
      <c r="U14">
        <v>17</v>
      </c>
      <c r="V14" t="s">
        <v>23</v>
      </c>
    </row>
    <row r="15" spans="1:22" x14ac:dyDescent="0.25">
      <c r="A15" t="s">
        <v>19</v>
      </c>
      <c r="B15">
        <v>66486</v>
      </c>
      <c r="C15">
        <v>485</v>
      </c>
      <c r="E15" t="s">
        <v>20</v>
      </c>
      <c r="F15">
        <v>17992472</v>
      </c>
      <c r="G15" t="str">
        <f>DEC2HEX(F15)</f>
        <v>1128B18</v>
      </c>
      <c r="H15" t="str">
        <f>DEC2HEX(F15/256)</f>
        <v>1128B</v>
      </c>
      <c r="I15">
        <f>HEX2DEC(H15)</f>
        <v>70283</v>
      </c>
      <c r="J15" t="s">
        <v>21</v>
      </c>
      <c r="K15" t="s">
        <v>22</v>
      </c>
      <c r="L15">
        <v>554.97450000000003</v>
      </c>
      <c r="M15">
        <v>1087.0675000000001</v>
      </c>
      <c r="N15">
        <v>454.97449999999998</v>
      </c>
      <c r="O15">
        <v>1087.0675000000001</v>
      </c>
      <c r="P15">
        <v>39.211796</v>
      </c>
      <c r="Q15">
        <v>-77.239018999999999</v>
      </c>
      <c r="R15">
        <v>39.211796</v>
      </c>
      <c r="S15">
        <v>-77.240179999999995</v>
      </c>
      <c r="T15">
        <v>11.99</v>
      </c>
      <c r="U15">
        <v>13</v>
      </c>
      <c r="V15" t="s">
        <v>23</v>
      </c>
    </row>
    <row r="16" spans="1:22" x14ac:dyDescent="0.25">
      <c r="A16" t="s">
        <v>19</v>
      </c>
      <c r="B16">
        <v>66986</v>
      </c>
      <c r="C16">
        <v>485</v>
      </c>
      <c r="E16" t="s">
        <v>20</v>
      </c>
      <c r="F16">
        <v>17992672</v>
      </c>
      <c r="G16" t="str">
        <f>DEC2HEX(F16)</f>
        <v>1128BE0</v>
      </c>
      <c r="H16" t="str">
        <f>DEC2HEX(F16/256)</f>
        <v>1128B</v>
      </c>
      <c r="I16">
        <f>HEX2DEC(H16)</f>
        <v>70283</v>
      </c>
      <c r="J16" t="s">
        <v>21</v>
      </c>
      <c r="K16" t="s">
        <v>22</v>
      </c>
      <c r="L16">
        <v>530.84900000000005</v>
      </c>
      <c r="M16">
        <v>940.30240000000003</v>
      </c>
      <c r="N16">
        <v>530.84900000000005</v>
      </c>
      <c r="O16">
        <v>940.30240000000003</v>
      </c>
      <c r="P16">
        <v>39.212823</v>
      </c>
      <c r="Q16">
        <v>-77.239812999999998</v>
      </c>
      <c r="R16">
        <v>39.212823</v>
      </c>
      <c r="S16">
        <v>-77.239812999999998</v>
      </c>
      <c r="T16">
        <v>10.7</v>
      </c>
      <c r="U16">
        <v>10</v>
      </c>
      <c r="V16" t="s">
        <v>23</v>
      </c>
    </row>
    <row r="17" spans="1:22" x14ac:dyDescent="0.25">
      <c r="A17" t="s">
        <v>19</v>
      </c>
      <c r="B17">
        <v>66486</v>
      </c>
      <c r="C17">
        <v>308</v>
      </c>
      <c r="E17" t="s">
        <v>20</v>
      </c>
      <c r="F17">
        <v>18071318</v>
      </c>
      <c r="G17" t="str">
        <f>DEC2HEX(F17)</f>
        <v>113BF16</v>
      </c>
      <c r="H17" t="str">
        <f>DEC2HEX(F17/256)</f>
        <v>113BF</v>
      </c>
      <c r="I17">
        <f>HEX2DEC(H17)</f>
        <v>70591</v>
      </c>
      <c r="J17" t="s">
        <v>21</v>
      </c>
      <c r="K17" t="s">
        <v>22</v>
      </c>
      <c r="L17">
        <v>228.5796</v>
      </c>
      <c r="M17">
        <v>-1216.6455000000001</v>
      </c>
      <c r="N17">
        <v>228.5796</v>
      </c>
      <c r="O17">
        <v>-1316.6455000000001</v>
      </c>
      <c r="P17">
        <v>39.181002999999997</v>
      </c>
      <c r="Q17">
        <v>-77.257321000000005</v>
      </c>
      <c r="R17">
        <v>39.180103000000003</v>
      </c>
      <c r="S17">
        <v>-77.257321000000005</v>
      </c>
      <c r="T17">
        <v>8.3699999999999992</v>
      </c>
      <c r="U17">
        <v>10</v>
      </c>
      <c r="V17" t="s">
        <v>23</v>
      </c>
    </row>
    <row r="18" spans="1:22" x14ac:dyDescent="0.25">
      <c r="A18" t="s">
        <v>19</v>
      </c>
      <c r="B18">
        <v>66986</v>
      </c>
      <c r="C18">
        <v>308</v>
      </c>
      <c r="E18" t="s">
        <v>20</v>
      </c>
      <c r="F18">
        <v>18071518</v>
      </c>
      <c r="G18" t="str">
        <f>DEC2HEX(F18)</f>
        <v>113BFDE</v>
      </c>
      <c r="H18" t="str">
        <f>DEC2HEX(F18/256)</f>
        <v>113BF</v>
      </c>
      <c r="I18">
        <f>HEX2DEC(H18)</f>
        <v>70591</v>
      </c>
      <c r="J18" t="s">
        <v>21</v>
      </c>
      <c r="K18" t="s">
        <v>22</v>
      </c>
      <c r="L18">
        <v>262.96499999999997</v>
      </c>
      <c r="M18">
        <v>-642.83590000000004</v>
      </c>
      <c r="N18">
        <v>262.96499999999997</v>
      </c>
      <c r="O18">
        <v>-742.83590000000004</v>
      </c>
      <c r="P18">
        <v>39.184761000000002</v>
      </c>
      <c r="Q18">
        <v>-77.256298999999999</v>
      </c>
      <c r="R18">
        <v>39.183861</v>
      </c>
      <c r="S18">
        <v>-77.256298999999999</v>
      </c>
      <c r="T18">
        <v>6.58</v>
      </c>
      <c r="U18">
        <v>9</v>
      </c>
      <c r="V18" t="s">
        <v>23</v>
      </c>
    </row>
    <row r="19" spans="1:22" s="1" customFormat="1" x14ac:dyDescent="0.25">
      <c r="A19" s="1" t="s">
        <v>19</v>
      </c>
      <c r="B19" s="1">
        <v>9820</v>
      </c>
      <c r="C19" s="1">
        <v>6</v>
      </c>
      <c r="E19" s="1" t="s">
        <v>20</v>
      </c>
      <c r="F19" s="1">
        <v>18498453</v>
      </c>
      <c r="G19" s="1" t="str">
        <f>DEC2HEX(F19)</f>
        <v>11A4395</v>
      </c>
      <c r="H19" s="1" t="str">
        <f>DEC2HEX(F19/256)</f>
        <v>11A43</v>
      </c>
      <c r="I19" s="1">
        <f>HEX2DEC(H19)</f>
        <v>72259</v>
      </c>
      <c r="J19" s="1" t="s">
        <v>21</v>
      </c>
      <c r="K19" s="1" t="s">
        <v>22</v>
      </c>
      <c r="L19" s="1">
        <v>529.05219999999997</v>
      </c>
      <c r="M19" s="1">
        <v>-933.62929999999994</v>
      </c>
      <c r="N19" s="1">
        <v>529.05219999999997</v>
      </c>
      <c r="O19" s="1">
        <v>-933.62929999999994</v>
      </c>
      <c r="P19" s="1">
        <v>39.214410000000001</v>
      </c>
      <c r="Q19" s="1">
        <v>-77.27431</v>
      </c>
      <c r="R19" s="1">
        <v>39.214410000000001</v>
      </c>
      <c r="S19" s="1">
        <v>-77.27431</v>
      </c>
      <c r="T19" s="1">
        <v>11.68</v>
      </c>
      <c r="U19" s="1">
        <v>14</v>
      </c>
      <c r="V19" s="1" t="s">
        <v>23</v>
      </c>
    </row>
    <row r="20" spans="1:22" s="1" customFormat="1" x14ac:dyDescent="0.25">
      <c r="A20" s="1" t="s">
        <v>19</v>
      </c>
      <c r="B20" s="1">
        <v>9820</v>
      </c>
      <c r="C20" s="1">
        <v>484</v>
      </c>
      <c r="E20" s="1" t="s">
        <v>20</v>
      </c>
      <c r="F20" s="1">
        <v>18498454</v>
      </c>
      <c r="G20" s="1" t="str">
        <f>DEC2HEX(F20)</f>
        <v>11A4396</v>
      </c>
      <c r="H20" s="1" t="str">
        <f>DEC2HEX(F20/256)</f>
        <v>11A43</v>
      </c>
      <c r="I20" s="1">
        <f>HEX2DEC(H20)</f>
        <v>72259</v>
      </c>
      <c r="J20" s="1" t="s">
        <v>21</v>
      </c>
      <c r="K20" s="1" t="s">
        <v>22</v>
      </c>
      <c r="L20" s="1">
        <v>1423.3119999999999</v>
      </c>
      <c r="M20" s="1">
        <v>-502.79180000000002</v>
      </c>
      <c r="N20" s="1">
        <v>823.31200000000001</v>
      </c>
      <c r="O20" s="1">
        <v>97.208200000000005</v>
      </c>
      <c r="P20" s="1">
        <v>39.204645999999997</v>
      </c>
      <c r="Q20" s="1">
        <v>-77.258737999999994</v>
      </c>
      <c r="R20" s="1">
        <v>39.210045000000001</v>
      </c>
      <c r="S20" s="1">
        <v>-77.265704999999997</v>
      </c>
      <c r="T20" s="1">
        <v>8.24</v>
      </c>
      <c r="U20" s="1">
        <v>11</v>
      </c>
      <c r="V20" s="1" t="s">
        <v>23</v>
      </c>
    </row>
    <row r="21" spans="1:22" s="1" customFormat="1" x14ac:dyDescent="0.25">
      <c r="A21" s="1" t="s">
        <v>19</v>
      </c>
      <c r="B21" s="1">
        <v>66486</v>
      </c>
      <c r="C21" s="1">
        <v>6</v>
      </c>
      <c r="E21" s="1" t="s">
        <v>20</v>
      </c>
      <c r="F21" s="1">
        <v>18498326</v>
      </c>
      <c r="G21" s="1" t="str">
        <f>DEC2HEX(F21)</f>
        <v>11A4316</v>
      </c>
      <c r="H21" s="1" t="str">
        <f>DEC2HEX(F21/256)</f>
        <v>11A43</v>
      </c>
      <c r="I21" s="1">
        <f>HEX2DEC(H21)</f>
        <v>72259</v>
      </c>
      <c r="J21" s="1" t="s">
        <v>21</v>
      </c>
      <c r="K21" s="1" t="s">
        <v>22</v>
      </c>
      <c r="L21" s="1">
        <v>445.99990000000003</v>
      </c>
      <c r="M21" s="1">
        <v>-1179.5899999999999</v>
      </c>
      <c r="N21" s="1">
        <v>445.99990000000003</v>
      </c>
      <c r="O21" s="1">
        <v>-1079.5899999999999</v>
      </c>
      <c r="P21" s="1">
        <v>39.212454000000001</v>
      </c>
      <c r="Q21" s="1">
        <v>-77.275385</v>
      </c>
      <c r="R21" s="1">
        <v>39.213354000000002</v>
      </c>
      <c r="S21" s="1">
        <v>-77.275385</v>
      </c>
      <c r="T21" s="1">
        <v>15.8</v>
      </c>
      <c r="U21" s="1">
        <v>15</v>
      </c>
      <c r="V21" s="1" t="s">
        <v>23</v>
      </c>
    </row>
    <row r="22" spans="1:22" s="1" customFormat="1" x14ac:dyDescent="0.25">
      <c r="A22" s="1" t="s">
        <v>19</v>
      </c>
      <c r="B22" s="1">
        <v>66986</v>
      </c>
      <c r="C22" s="1">
        <v>6</v>
      </c>
      <c r="E22" s="1" t="s">
        <v>20</v>
      </c>
      <c r="F22" s="1">
        <v>18498531</v>
      </c>
      <c r="G22" s="1" t="str">
        <f>DEC2HEX(F22)</f>
        <v>11A43E3</v>
      </c>
      <c r="H22" s="1" t="str">
        <f>DEC2HEX(F22/256)</f>
        <v>11A43</v>
      </c>
      <c r="I22" s="1">
        <f>HEX2DEC(H22)</f>
        <v>72259</v>
      </c>
      <c r="J22" s="1" t="s">
        <v>21</v>
      </c>
      <c r="K22" s="1" t="s">
        <v>22</v>
      </c>
      <c r="L22" s="1">
        <v>409.71890000000002</v>
      </c>
      <c r="M22" s="1">
        <v>-1067.6348</v>
      </c>
      <c r="N22" s="1">
        <v>409.71890000000002</v>
      </c>
      <c r="O22" s="1">
        <v>-1067.6348</v>
      </c>
      <c r="P22" s="1">
        <v>39.212434999999999</v>
      </c>
      <c r="Q22" s="1">
        <v>-77.275357</v>
      </c>
      <c r="R22" s="1">
        <v>39.212434999999999</v>
      </c>
      <c r="S22" s="1">
        <v>-77.275357</v>
      </c>
      <c r="T22" s="1">
        <v>14.14</v>
      </c>
      <c r="U22" s="1">
        <v>15</v>
      </c>
      <c r="V22" s="1" t="s">
        <v>23</v>
      </c>
    </row>
    <row r="23" spans="1:22" s="1" customFormat="1" x14ac:dyDescent="0.25">
      <c r="A23" s="1" t="s">
        <v>19</v>
      </c>
      <c r="B23" s="1">
        <v>66986</v>
      </c>
      <c r="C23" s="1">
        <v>484</v>
      </c>
      <c r="E23" s="1" t="s">
        <v>20</v>
      </c>
      <c r="F23" s="1">
        <v>18498532</v>
      </c>
      <c r="G23" s="1" t="str">
        <f>DEC2HEX(F23)</f>
        <v>11A43E4</v>
      </c>
      <c r="H23" s="1" t="str">
        <f>DEC2HEX(F23/256)</f>
        <v>11A43</v>
      </c>
      <c r="I23" s="1">
        <f>HEX2DEC(H23)</f>
        <v>72259</v>
      </c>
      <c r="J23" s="1" t="s">
        <v>21</v>
      </c>
      <c r="K23" s="1" t="s">
        <v>22</v>
      </c>
      <c r="L23" s="1">
        <v>335.49349999999998</v>
      </c>
      <c r="M23" s="1">
        <v>-6.2099000000000002</v>
      </c>
      <c r="N23" s="1">
        <v>35.493499999999997</v>
      </c>
      <c r="O23" s="1">
        <v>293.7901</v>
      </c>
      <c r="P23" s="1">
        <v>39.209871</v>
      </c>
      <c r="Q23" s="1">
        <v>-77.271810000000002</v>
      </c>
      <c r="R23" s="1">
        <v>39.212569999999999</v>
      </c>
      <c r="S23" s="1">
        <v>-77.275294000000002</v>
      </c>
      <c r="T23" s="1">
        <v>10.34</v>
      </c>
      <c r="U23" s="1">
        <v>7</v>
      </c>
      <c r="V23" s="1" t="s">
        <v>23</v>
      </c>
    </row>
    <row r="24" spans="1:22" s="3" customFormat="1" x14ac:dyDescent="0.25">
      <c r="A24" s="3" t="s">
        <v>19</v>
      </c>
      <c r="B24" s="3">
        <v>9820</v>
      </c>
      <c r="C24" s="3">
        <v>147</v>
      </c>
      <c r="E24" s="3" t="s">
        <v>20</v>
      </c>
      <c r="F24" s="3">
        <v>18514069</v>
      </c>
      <c r="G24" s="3" t="str">
        <f>DEC2HEX(F24)</f>
        <v>11A8095</v>
      </c>
      <c r="H24" s="3" t="str">
        <f>DEC2HEX(F24/256)</f>
        <v>11A80</v>
      </c>
      <c r="I24" s="3">
        <f>HEX2DEC(H24)</f>
        <v>72320</v>
      </c>
      <c r="J24" s="3" t="s">
        <v>21</v>
      </c>
      <c r="K24" s="3" t="s">
        <v>22</v>
      </c>
      <c r="L24" s="3">
        <v>-316.84870000000001</v>
      </c>
      <c r="M24" s="3">
        <v>-57.059399999999997</v>
      </c>
      <c r="N24" s="3">
        <v>-316.84870000000001</v>
      </c>
      <c r="O24" s="3">
        <v>-57.059399999999997</v>
      </c>
      <c r="P24" s="3">
        <v>39.230795999999998</v>
      </c>
      <c r="Q24" s="3">
        <v>-77.284796</v>
      </c>
      <c r="R24" s="3">
        <v>39.230795999999998</v>
      </c>
      <c r="S24" s="3">
        <v>-77.284796</v>
      </c>
      <c r="T24" s="3">
        <v>21.42</v>
      </c>
      <c r="U24" s="3">
        <v>18</v>
      </c>
      <c r="V24" s="3" t="s">
        <v>23</v>
      </c>
    </row>
    <row r="25" spans="1:22" s="3" customFormat="1" x14ac:dyDescent="0.25">
      <c r="A25" s="3" t="s">
        <v>19</v>
      </c>
      <c r="B25" s="3">
        <v>9820</v>
      </c>
      <c r="C25" s="3">
        <v>260</v>
      </c>
      <c r="E25" s="3" t="s">
        <v>20</v>
      </c>
      <c r="F25" s="3">
        <v>18514070</v>
      </c>
      <c r="G25" s="3" t="str">
        <f>DEC2HEX(F25)</f>
        <v>11A8096</v>
      </c>
      <c r="H25" s="3" t="str">
        <f>DEC2HEX(F25/256)</f>
        <v>11A80</v>
      </c>
      <c r="I25" s="3">
        <f>HEX2DEC(H25)</f>
        <v>72320</v>
      </c>
      <c r="J25" s="3" t="s">
        <v>21</v>
      </c>
      <c r="K25" s="3" t="s">
        <v>22</v>
      </c>
      <c r="L25" s="3">
        <v>-131.08000000000001</v>
      </c>
      <c r="M25" s="3">
        <v>-201.58150000000001</v>
      </c>
      <c r="N25" s="3">
        <v>-131.08000000000001</v>
      </c>
      <c r="O25" s="3">
        <v>-201.58150000000001</v>
      </c>
      <c r="P25" s="3">
        <v>39.226007000000003</v>
      </c>
      <c r="Q25" s="3">
        <v>-77.284334000000001</v>
      </c>
      <c r="R25" s="3">
        <v>39.226007000000003</v>
      </c>
      <c r="S25" s="3">
        <v>-77.284334000000001</v>
      </c>
      <c r="T25" s="3">
        <v>7.98</v>
      </c>
      <c r="U25" s="3">
        <v>21</v>
      </c>
      <c r="V25" s="3" t="s">
        <v>23</v>
      </c>
    </row>
    <row r="26" spans="1:22" s="3" customFormat="1" x14ac:dyDescent="0.25">
      <c r="A26" s="3" t="s">
        <v>19</v>
      </c>
      <c r="B26" s="3">
        <v>66486</v>
      </c>
      <c r="C26" s="3">
        <v>147</v>
      </c>
      <c r="E26" s="3" t="s">
        <v>20</v>
      </c>
      <c r="F26" s="3">
        <v>18513942</v>
      </c>
      <c r="G26" s="3" t="str">
        <f>DEC2HEX(F26)</f>
        <v>11A8016</v>
      </c>
      <c r="H26" s="3" t="str">
        <f>DEC2HEX(F26/256)</f>
        <v>11A80</v>
      </c>
      <c r="I26" s="3">
        <f>HEX2DEC(H26)</f>
        <v>72320</v>
      </c>
      <c r="J26" s="3" t="s">
        <v>21</v>
      </c>
      <c r="K26" s="3" t="s">
        <v>22</v>
      </c>
      <c r="L26" s="3">
        <v>-403.5521</v>
      </c>
      <c r="M26" s="3">
        <v>-93.197699999999998</v>
      </c>
      <c r="N26" s="3">
        <v>-503.5521</v>
      </c>
      <c r="O26" s="3">
        <v>-293.1977</v>
      </c>
      <c r="P26" s="3">
        <v>39.230392999999999</v>
      </c>
      <c r="Q26" s="3">
        <v>-77.285812000000007</v>
      </c>
      <c r="R26" s="3">
        <v>39.228594000000001</v>
      </c>
      <c r="S26" s="3">
        <v>-77.286973000000003</v>
      </c>
      <c r="T26" s="3">
        <v>20.09</v>
      </c>
      <c r="U26" s="3">
        <v>17</v>
      </c>
      <c r="V26" s="3" t="s">
        <v>23</v>
      </c>
    </row>
    <row r="27" spans="1:22" s="3" customFormat="1" x14ac:dyDescent="0.25">
      <c r="A27" s="3" t="s">
        <v>19</v>
      </c>
      <c r="B27" s="3">
        <v>66486</v>
      </c>
      <c r="C27" s="3">
        <v>260</v>
      </c>
      <c r="E27" s="3" t="s">
        <v>20</v>
      </c>
      <c r="F27" s="3">
        <v>18513943</v>
      </c>
      <c r="G27" s="3" t="str">
        <f>DEC2HEX(F27)</f>
        <v>11A8017</v>
      </c>
      <c r="H27" s="3" t="str">
        <f>DEC2HEX(F27/256)</f>
        <v>11A80</v>
      </c>
      <c r="I27" s="3">
        <f>HEX2DEC(H27)</f>
        <v>72320</v>
      </c>
      <c r="J27" s="3" t="s">
        <v>21</v>
      </c>
      <c r="K27" s="3" t="s">
        <v>22</v>
      </c>
      <c r="L27" s="3">
        <v>-30.082799999999999</v>
      </c>
      <c r="M27" s="3">
        <v>-300.48989999999998</v>
      </c>
      <c r="N27" s="3">
        <v>-130.08279999999999</v>
      </c>
      <c r="O27" s="3">
        <v>-0.4899</v>
      </c>
      <c r="P27" s="3">
        <v>39.226291000000003</v>
      </c>
      <c r="Q27" s="3">
        <v>-77.283828999999997</v>
      </c>
      <c r="R27" s="3">
        <v>39.228991000000001</v>
      </c>
      <c r="S27" s="3">
        <v>-77.284991000000005</v>
      </c>
      <c r="T27" s="3">
        <v>9.9</v>
      </c>
      <c r="U27" s="3">
        <v>26</v>
      </c>
      <c r="V27" s="3" t="s">
        <v>23</v>
      </c>
    </row>
    <row r="28" spans="1:22" s="3" customFormat="1" x14ac:dyDescent="0.25">
      <c r="A28" s="3" t="s">
        <v>19</v>
      </c>
      <c r="B28" s="3">
        <v>66986</v>
      </c>
      <c r="C28" s="3">
        <v>147</v>
      </c>
      <c r="E28" s="3" t="s">
        <v>20</v>
      </c>
      <c r="F28" s="3">
        <v>18514142</v>
      </c>
      <c r="G28" s="3" t="str">
        <f>DEC2HEX(F28)</f>
        <v>11A80DE</v>
      </c>
      <c r="H28" s="3" t="str">
        <f>DEC2HEX(F28/256)</f>
        <v>11A80</v>
      </c>
      <c r="I28" s="3">
        <f>HEX2DEC(H28)</f>
        <v>72320</v>
      </c>
      <c r="J28" s="3" t="s">
        <v>21</v>
      </c>
      <c r="K28" s="3" t="s">
        <v>22</v>
      </c>
      <c r="L28" s="3">
        <v>-401.88650000000001</v>
      </c>
      <c r="M28" s="3">
        <v>-82.6982</v>
      </c>
      <c r="N28" s="3">
        <v>-401.88650000000001</v>
      </c>
      <c r="O28" s="3">
        <v>-82.6982</v>
      </c>
      <c r="P28" s="3">
        <v>39.230373</v>
      </c>
      <c r="Q28" s="3">
        <v>-77.285774000000004</v>
      </c>
      <c r="R28" s="3">
        <v>39.230373</v>
      </c>
      <c r="S28" s="3">
        <v>-77.285774000000004</v>
      </c>
      <c r="T28" s="3">
        <v>23.87</v>
      </c>
      <c r="U28" s="3">
        <v>17</v>
      </c>
      <c r="V28" s="3" t="s">
        <v>23</v>
      </c>
    </row>
    <row r="29" spans="1:22" s="3" customFormat="1" x14ac:dyDescent="0.25">
      <c r="A29" s="3" t="s">
        <v>19</v>
      </c>
      <c r="B29" s="3">
        <v>66986</v>
      </c>
      <c r="C29" s="3">
        <v>260</v>
      </c>
      <c r="E29" s="3" t="s">
        <v>20</v>
      </c>
      <c r="F29" s="3">
        <v>18514143</v>
      </c>
      <c r="G29" s="3" t="str">
        <f>DEC2HEX(F29)</f>
        <v>11A80DF</v>
      </c>
      <c r="H29" s="3" t="str">
        <f>DEC2HEX(F29/256)</f>
        <v>11A80</v>
      </c>
      <c r="I29" s="3">
        <f>HEX2DEC(H29)</f>
        <v>72320</v>
      </c>
      <c r="J29" s="3" t="s">
        <v>21</v>
      </c>
      <c r="K29" s="3" t="s">
        <v>22</v>
      </c>
      <c r="L29" s="3">
        <v>-298.9819</v>
      </c>
      <c r="M29" s="3">
        <v>-124.1931</v>
      </c>
      <c r="N29" s="3">
        <v>-298.9819</v>
      </c>
      <c r="O29" s="3">
        <v>275.80689999999998</v>
      </c>
      <c r="P29" s="3">
        <v>39.226703999999998</v>
      </c>
      <c r="Q29" s="3">
        <v>-77.286283999999995</v>
      </c>
      <c r="R29" s="3">
        <v>39.230302999999999</v>
      </c>
      <c r="S29" s="3">
        <v>-77.286283999999995</v>
      </c>
      <c r="T29" s="3">
        <v>10.41</v>
      </c>
      <c r="U29" s="3">
        <v>31</v>
      </c>
      <c r="V29" s="3" t="s">
        <v>23</v>
      </c>
    </row>
    <row r="30" spans="1:22" s="2" customFormat="1" x14ac:dyDescent="0.25">
      <c r="A30" s="2" t="s">
        <v>19</v>
      </c>
      <c r="B30" s="2">
        <v>9820</v>
      </c>
      <c r="C30" s="2">
        <v>461</v>
      </c>
      <c r="E30" s="2" t="s">
        <v>20</v>
      </c>
      <c r="F30" s="2">
        <v>18625430</v>
      </c>
      <c r="G30" s="2" t="str">
        <f>DEC2HEX(F30)</f>
        <v>11C3396</v>
      </c>
      <c r="H30" s="2" t="str">
        <f>DEC2HEX(F30/256)</f>
        <v>11C33</v>
      </c>
      <c r="I30" s="2">
        <f>HEX2DEC(H30)</f>
        <v>72755</v>
      </c>
      <c r="J30" s="2" t="s">
        <v>21</v>
      </c>
      <c r="K30" s="2" t="s">
        <v>22</v>
      </c>
      <c r="L30" s="2">
        <v>-855.92729999999995</v>
      </c>
      <c r="M30" s="2">
        <v>209.95</v>
      </c>
      <c r="N30" s="2">
        <v>-1155.9273000000001</v>
      </c>
      <c r="O30" s="2">
        <v>209.95</v>
      </c>
      <c r="P30" s="2">
        <v>39.200268999999999</v>
      </c>
      <c r="Q30" s="2">
        <v>-77.254778000000002</v>
      </c>
      <c r="R30" s="2">
        <v>39.200268999999999</v>
      </c>
      <c r="S30" s="2">
        <v>-77.258261000000005</v>
      </c>
      <c r="T30" s="2">
        <v>15.75</v>
      </c>
      <c r="U30" s="2">
        <v>13</v>
      </c>
      <c r="V30" s="2" t="s">
        <v>23</v>
      </c>
    </row>
    <row r="31" spans="1:22" s="2" customFormat="1" x14ac:dyDescent="0.25">
      <c r="A31" s="2" t="s">
        <v>19</v>
      </c>
      <c r="B31" s="2">
        <v>9820</v>
      </c>
      <c r="C31" s="2">
        <v>426</v>
      </c>
      <c r="E31" s="2" t="s">
        <v>20</v>
      </c>
      <c r="F31" s="2">
        <v>18625431</v>
      </c>
      <c r="G31" s="2" t="str">
        <f>DEC2HEX(F31)</f>
        <v>11C3397</v>
      </c>
      <c r="H31" s="2" t="str">
        <f>DEC2HEX(F31/256)</f>
        <v>11C33</v>
      </c>
      <c r="I31" s="2">
        <f>HEX2DEC(H31)</f>
        <v>72755</v>
      </c>
      <c r="J31" s="2" t="s">
        <v>21</v>
      </c>
      <c r="K31" s="2" t="s">
        <v>22</v>
      </c>
      <c r="L31" s="2">
        <v>506.76319999999998</v>
      </c>
      <c r="M31" s="2">
        <v>-44.886699999999998</v>
      </c>
      <c r="N31" s="2">
        <v>506.76319999999998</v>
      </c>
      <c r="O31" s="2">
        <v>-44.886699999999998</v>
      </c>
      <c r="P31" s="2">
        <v>39.200062000000003</v>
      </c>
      <c r="Q31" s="2">
        <v>-77.260371000000006</v>
      </c>
      <c r="R31" s="2">
        <v>39.200062000000003</v>
      </c>
      <c r="S31" s="2">
        <v>-77.260371000000006</v>
      </c>
      <c r="T31" s="2">
        <v>15.17</v>
      </c>
      <c r="U31" s="2">
        <v>20</v>
      </c>
      <c r="V31" s="2" t="s">
        <v>23</v>
      </c>
    </row>
    <row r="32" spans="1:22" s="2" customFormat="1" x14ac:dyDescent="0.25">
      <c r="A32" s="2" t="s">
        <v>19</v>
      </c>
      <c r="B32" s="2">
        <v>66486</v>
      </c>
      <c r="C32" s="2">
        <v>461</v>
      </c>
      <c r="E32" s="2" t="s">
        <v>20</v>
      </c>
      <c r="F32" s="2">
        <v>18625303</v>
      </c>
      <c r="G32" s="2" t="str">
        <f>DEC2HEX(F32)</f>
        <v>11C3317</v>
      </c>
      <c r="H32" s="2" t="str">
        <f>DEC2HEX(F32/256)</f>
        <v>11C33</v>
      </c>
      <c r="I32" s="2">
        <f>HEX2DEC(H32)</f>
        <v>72755</v>
      </c>
      <c r="J32" s="2" t="s">
        <v>21</v>
      </c>
      <c r="K32" s="2" t="s">
        <v>22</v>
      </c>
      <c r="L32" s="2">
        <v>-971.93269999999995</v>
      </c>
      <c r="M32" s="2">
        <v>321.26130000000001</v>
      </c>
      <c r="N32" s="2">
        <v>-1171.9327000000001</v>
      </c>
      <c r="O32" s="2">
        <v>321.26130000000001</v>
      </c>
      <c r="P32" s="2">
        <v>39.200799000000004</v>
      </c>
      <c r="Q32" s="2">
        <v>-77.256033000000002</v>
      </c>
      <c r="R32" s="2">
        <v>39.200799000000004</v>
      </c>
      <c r="S32" s="2">
        <v>-77.258354999999995</v>
      </c>
      <c r="T32" s="2">
        <v>17.079999999999998</v>
      </c>
      <c r="U32" s="2">
        <v>15</v>
      </c>
      <c r="V32" s="2" t="s">
        <v>23</v>
      </c>
    </row>
    <row r="33" spans="1:22" s="2" customFormat="1" x14ac:dyDescent="0.25">
      <c r="A33" s="2" t="s">
        <v>19</v>
      </c>
      <c r="B33" s="2">
        <v>66486</v>
      </c>
      <c r="C33" s="2">
        <v>426</v>
      </c>
      <c r="E33" s="2" t="s">
        <v>20</v>
      </c>
      <c r="F33" s="2">
        <v>18625304</v>
      </c>
      <c r="G33" s="2" t="str">
        <f>DEC2HEX(F33)</f>
        <v>11C3318</v>
      </c>
      <c r="H33" s="2" t="str">
        <f>DEC2HEX(F33/256)</f>
        <v>11C33</v>
      </c>
      <c r="I33" s="2">
        <f>HEX2DEC(H33)</f>
        <v>72755</v>
      </c>
      <c r="J33" s="2" t="s">
        <v>21</v>
      </c>
      <c r="K33" s="2" t="s">
        <v>22</v>
      </c>
      <c r="L33" s="2">
        <v>391.5505</v>
      </c>
      <c r="M33" s="2">
        <v>71.829800000000006</v>
      </c>
      <c r="N33" s="2">
        <v>391.5505</v>
      </c>
      <c r="O33" s="2">
        <v>71.829800000000006</v>
      </c>
      <c r="P33" s="2">
        <v>39.199410999999998</v>
      </c>
      <c r="Q33" s="2">
        <v>-77.259912</v>
      </c>
      <c r="R33" s="2">
        <v>39.199410999999998</v>
      </c>
      <c r="S33" s="2">
        <v>-77.259912</v>
      </c>
      <c r="T33" s="2">
        <v>17.59</v>
      </c>
      <c r="U33" s="2">
        <v>23</v>
      </c>
      <c r="V33" s="2" t="s">
        <v>23</v>
      </c>
    </row>
    <row r="34" spans="1:22" s="2" customFormat="1" x14ac:dyDescent="0.25">
      <c r="A34" s="2" t="s">
        <v>19</v>
      </c>
      <c r="B34" s="2">
        <v>66486</v>
      </c>
      <c r="C34" s="2">
        <v>76</v>
      </c>
      <c r="E34" s="2" t="s">
        <v>20</v>
      </c>
      <c r="F34" s="2">
        <v>18625305</v>
      </c>
      <c r="G34" s="2" t="str">
        <f>DEC2HEX(F34)</f>
        <v>11C3319</v>
      </c>
      <c r="H34" s="2" t="str">
        <f>DEC2HEX(F34/256)</f>
        <v>11C33</v>
      </c>
      <c r="I34" s="2">
        <f>HEX2DEC(H34)</f>
        <v>72755</v>
      </c>
      <c r="J34" s="2" t="s">
        <v>21</v>
      </c>
      <c r="K34" s="2" t="s">
        <v>22</v>
      </c>
      <c r="L34" s="2">
        <v>-2239.7728000000002</v>
      </c>
      <c r="M34" s="2">
        <v>-1202.5441000000001</v>
      </c>
      <c r="N34" s="2">
        <v>-1639.7728</v>
      </c>
      <c r="O34" s="2">
        <v>-1802.5441000000001</v>
      </c>
      <c r="P34" s="2">
        <v>39.193272</v>
      </c>
      <c r="Q34" s="2">
        <v>-77.296429000000003</v>
      </c>
      <c r="R34" s="2">
        <v>39.187873000000003</v>
      </c>
      <c r="S34" s="2">
        <v>-77.289462</v>
      </c>
      <c r="T34" s="2">
        <v>15.99</v>
      </c>
      <c r="U34" s="2">
        <v>6</v>
      </c>
      <c r="V34" s="2" t="s">
        <v>23</v>
      </c>
    </row>
    <row r="35" spans="1:22" s="2" customFormat="1" x14ac:dyDescent="0.25">
      <c r="A35" s="2" t="s">
        <v>19</v>
      </c>
      <c r="B35" s="2">
        <v>66986</v>
      </c>
      <c r="C35" s="2">
        <v>461</v>
      </c>
      <c r="E35" s="2" t="s">
        <v>20</v>
      </c>
      <c r="F35" s="2">
        <v>18625503</v>
      </c>
      <c r="G35" s="2" t="str">
        <f>DEC2HEX(F35)</f>
        <v>11C33DF</v>
      </c>
      <c r="H35" s="2" t="str">
        <f>DEC2HEX(F35/256)</f>
        <v>11C33</v>
      </c>
      <c r="I35" s="2">
        <f>HEX2DEC(H35)</f>
        <v>72755</v>
      </c>
      <c r="J35" s="2" t="s">
        <v>21</v>
      </c>
      <c r="K35" s="2" t="s">
        <v>22</v>
      </c>
      <c r="L35" s="2">
        <v>-1050.8587</v>
      </c>
      <c r="M35" s="2">
        <v>495.15730000000002</v>
      </c>
      <c r="N35" s="2">
        <v>-1250.8587</v>
      </c>
      <c r="O35" s="2">
        <v>495.15730000000002</v>
      </c>
      <c r="P35" s="2">
        <v>39.200521000000002</v>
      </c>
      <c r="Q35" s="2">
        <v>-77.256546</v>
      </c>
      <c r="R35" s="2">
        <v>39.200521000000002</v>
      </c>
      <c r="S35" s="2">
        <v>-77.258868000000007</v>
      </c>
      <c r="T35" s="2">
        <v>15.24</v>
      </c>
      <c r="U35" s="2">
        <v>17</v>
      </c>
      <c r="V35" s="2" t="s">
        <v>23</v>
      </c>
    </row>
    <row r="36" spans="1:22" s="2" customFormat="1" x14ac:dyDescent="0.25">
      <c r="A36" s="2" t="s">
        <v>19</v>
      </c>
      <c r="B36" s="2">
        <v>66986</v>
      </c>
      <c r="C36" s="2">
        <v>426</v>
      </c>
      <c r="E36" s="2" t="s">
        <v>20</v>
      </c>
      <c r="F36" s="2">
        <v>18625504</v>
      </c>
      <c r="G36" s="2" t="str">
        <f>DEC2HEX(F36)</f>
        <v>11C33E0</v>
      </c>
      <c r="H36" s="2" t="str">
        <f>DEC2HEX(F36/256)</f>
        <v>11C33</v>
      </c>
      <c r="I36" s="2">
        <f>HEX2DEC(H36)</f>
        <v>72755</v>
      </c>
      <c r="J36" s="2" t="s">
        <v>21</v>
      </c>
      <c r="K36" s="2" t="s">
        <v>22</v>
      </c>
      <c r="L36" s="2">
        <v>546.4384</v>
      </c>
      <c r="M36" s="2">
        <v>-47.811999999999998</v>
      </c>
      <c r="N36" s="2">
        <v>546.4384</v>
      </c>
      <c r="O36" s="2">
        <v>-47.811999999999998</v>
      </c>
      <c r="P36" s="2">
        <v>39.200035999999997</v>
      </c>
      <c r="Q36" s="2">
        <v>-77.259910000000005</v>
      </c>
      <c r="R36" s="2">
        <v>39.200035999999997</v>
      </c>
      <c r="S36" s="2">
        <v>-77.259910000000005</v>
      </c>
      <c r="T36" s="2">
        <v>21.48</v>
      </c>
      <c r="U36" s="2">
        <v>23</v>
      </c>
      <c r="V36" s="2" t="s">
        <v>23</v>
      </c>
    </row>
    <row r="37" spans="1:22" x14ac:dyDescent="0.25">
      <c r="A37" t="s">
        <v>19</v>
      </c>
      <c r="B37">
        <v>9820</v>
      </c>
      <c r="C37">
        <v>292</v>
      </c>
      <c r="E37" t="s">
        <v>20</v>
      </c>
      <c r="F37">
        <v>19252630</v>
      </c>
      <c r="G37" t="str">
        <f>DEC2HEX(F37)</f>
        <v>125C596</v>
      </c>
      <c r="H37" t="str">
        <f>DEC2HEX(F37/256)</f>
        <v>125C5</v>
      </c>
      <c r="I37">
        <f>HEX2DEC(H37)</f>
        <v>75205</v>
      </c>
      <c r="J37" t="s">
        <v>21</v>
      </c>
      <c r="K37" t="s">
        <v>22</v>
      </c>
      <c r="L37">
        <v>-232.994</v>
      </c>
      <c r="M37">
        <v>311.72899999999998</v>
      </c>
      <c r="N37">
        <v>-332.99400000000003</v>
      </c>
      <c r="O37">
        <v>211.72900000000001</v>
      </c>
      <c r="P37">
        <v>39.231341</v>
      </c>
      <c r="Q37">
        <v>-77.285921000000002</v>
      </c>
      <c r="R37">
        <v>39.230440999999999</v>
      </c>
      <c r="S37">
        <v>-77.287082999999996</v>
      </c>
      <c r="T37">
        <v>11.21</v>
      </c>
      <c r="U37">
        <v>4</v>
      </c>
      <c r="V37" t="s">
        <v>23</v>
      </c>
    </row>
    <row r="38" spans="1:22" x14ac:dyDescent="0.25">
      <c r="A38" t="s">
        <v>19</v>
      </c>
      <c r="B38">
        <v>66486</v>
      </c>
      <c r="C38">
        <v>292</v>
      </c>
      <c r="E38" t="s">
        <v>20</v>
      </c>
      <c r="F38">
        <v>19252503</v>
      </c>
      <c r="G38" t="str">
        <f>DEC2HEX(F38)</f>
        <v>125C517</v>
      </c>
      <c r="H38" t="str">
        <f>DEC2HEX(F38/256)</f>
        <v>125C5</v>
      </c>
      <c r="I38">
        <f>HEX2DEC(H38)</f>
        <v>75205</v>
      </c>
      <c r="J38" t="s">
        <v>21</v>
      </c>
      <c r="K38" t="s">
        <v>22</v>
      </c>
      <c r="L38">
        <v>-159.44049999999999</v>
      </c>
      <c r="M38">
        <v>738.9049</v>
      </c>
      <c r="N38">
        <v>-159.44049999999999</v>
      </c>
      <c r="O38">
        <v>738.9049</v>
      </c>
      <c r="P38">
        <v>39.228395999999996</v>
      </c>
      <c r="Q38">
        <v>-77.287009999999995</v>
      </c>
      <c r="R38">
        <v>39.228395999999996</v>
      </c>
      <c r="S38">
        <v>-77.287009999999995</v>
      </c>
      <c r="T38">
        <v>16.38</v>
      </c>
      <c r="U38">
        <v>7</v>
      </c>
      <c r="V38" t="s">
        <v>23</v>
      </c>
    </row>
    <row r="39" spans="1:22" x14ac:dyDescent="0.25">
      <c r="A39" t="s">
        <v>19</v>
      </c>
      <c r="B39">
        <v>66986</v>
      </c>
      <c r="C39">
        <v>292</v>
      </c>
      <c r="E39" t="s">
        <v>20</v>
      </c>
      <c r="F39">
        <v>19252703</v>
      </c>
      <c r="G39" t="str">
        <f>DEC2HEX(F39)</f>
        <v>125C5DF</v>
      </c>
      <c r="H39" t="str">
        <f>DEC2HEX(F39/256)</f>
        <v>125C5</v>
      </c>
      <c r="I39">
        <f>HEX2DEC(H39)</f>
        <v>75205</v>
      </c>
      <c r="J39" t="s">
        <v>21</v>
      </c>
      <c r="K39" t="s">
        <v>22</v>
      </c>
      <c r="L39">
        <v>-140.6576</v>
      </c>
      <c r="M39">
        <v>813.99009999999998</v>
      </c>
      <c r="N39">
        <v>-140.6576</v>
      </c>
      <c r="O39">
        <v>813.99009999999998</v>
      </c>
      <c r="P39">
        <v>39.229072000000002</v>
      </c>
      <c r="Q39">
        <v>-77.286792000000005</v>
      </c>
      <c r="R39">
        <v>39.229072000000002</v>
      </c>
      <c r="S39">
        <v>-77.286792000000005</v>
      </c>
      <c r="T39">
        <v>17.059999999999999</v>
      </c>
      <c r="U39">
        <v>8</v>
      </c>
      <c r="V39" t="s">
        <v>23</v>
      </c>
    </row>
    <row r="40" spans="1:22" x14ac:dyDescent="0.25">
      <c r="A40" t="s">
        <v>24</v>
      </c>
      <c r="B40">
        <v>658080</v>
      </c>
      <c r="C40">
        <v>171</v>
      </c>
      <c r="D40">
        <v>4</v>
      </c>
      <c r="E40" t="s">
        <v>20</v>
      </c>
      <c r="F40">
        <v>25602821146</v>
      </c>
      <c r="G40" t="str">
        <f>DEC2HEX(F40)</f>
        <v>5F60C0C1A</v>
      </c>
      <c r="H40" t="str">
        <f>DEC2HEX(F40/64)</f>
        <v>17D83030</v>
      </c>
      <c r="I40">
        <f>HEX2DEC(H40)</f>
        <v>400044080</v>
      </c>
      <c r="J40" t="s">
        <v>21</v>
      </c>
      <c r="K40" t="s">
        <v>22</v>
      </c>
      <c r="L40">
        <v>1819.3034</v>
      </c>
      <c r="M40">
        <v>-2901.6842000000001</v>
      </c>
      <c r="N40">
        <v>1919.3034</v>
      </c>
      <c r="O40">
        <v>-3101.6842000000001</v>
      </c>
      <c r="P40">
        <v>39.204943999999998</v>
      </c>
      <c r="Q40">
        <v>-77.259743999999998</v>
      </c>
      <c r="R40">
        <v>39.203144999999999</v>
      </c>
      <c r="S40">
        <v>-77.258582000000004</v>
      </c>
      <c r="T40">
        <v>10</v>
      </c>
      <c r="U40">
        <v>52</v>
      </c>
      <c r="V40" t="s">
        <v>23</v>
      </c>
    </row>
    <row r="41" spans="1:22" x14ac:dyDescent="0.25">
      <c r="A41" t="s">
        <v>24</v>
      </c>
      <c r="B41">
        <v>658080</v>
      </c>
      <c r="C41">
        <v>171</v>
      </c>
      <c r="D41">
        <v>3</v>
      </c>
      <c r="E41" t="s">
        <v>20</v>
      </c>
      <c r="F41">
        <v>25602821146</v>
      </c>
      <c r="G41" t="str">
        <f>DEC2HEX(F41)</f>
        <v>5F60C0C1A</v>
      </c>
      <c r="H41" t="str">
        <f t="shared" ref="H41:H99" si="0">DEC2HEX(F41/64)</f>
        <v>17D83030</v>
      </c>
      <c r="I41">
        <f>HEX2DEC(H41)</f>
        <v>400044080</v>
      </c>
      <c r="J41" t="s">
        <v>21</v>
      </c>
      <c r="K41" t="s">
        <v>22</v>
      </c>
      <c r="L41">
        <v>1880.1419000000001</v>
      </c>
      <c r="M41">
        <v>-3690.5857000000001</v>
      </c>
      <c r="N41">
        <v>1780.1419000000001</v>
      </c>
      <c r="O41">
        <v>-3690.5857000000001</v>
      </c>
      <c r="P41">
        <v>39.201245999999998</v>
      </c>
      <c r="Q41">
        <v>-77.259735000000006</v>
      </c>
      <c r="R41">
        <v>39.201245999999998</v>
      </c>
      <c r="S41">
        <v>-77.260897</v>
      </c>
      <c r="T41">
        <v>9.16</v>
      </c>
      <c r="U41">
        <v>29</v>
      </c>
      <c r="V41" t="s">
        <v>23</v>
      </c>
    </row>
    <row r="42" spans="1:22" x14ac:dyDescent="0.25">
      <c r="A42" t="s">
        <v>24</v>
      </c>
      <c r="B42">
        <v>658080</v>
      </c>
      <c r="C42">
        <v>171</v>
      </c>
      <c r="D42">
        <v>1</v>
      </c>
      <c r="E42" t="s">
        <v>20</v>
      </c>
      <c r="F42">
        <v>25602821146</v>
      </c>
      <c r="G42" t="str">
        <f>DEC2HEX(F42)</f>
        <v>5F60C0C1A</v>
      </c>
      <c r="H42" t="str">
        <f t="shared" si="0"/>
        <v>17D83030</v>
      </c>
      <c r="I42">
        <f>HEX2DEC(H42)</f>
        <v>400044080</v>
      </c>
      <c r="J42" t="s">
        <v>21</v>
      </c>
      <c r="K42" t="s">
        <v>22</v>
      </c>
      <c r="L42">
        <v>-935.27359999999999</v>
      </c>
      <c r="M42">
        <v>566.18020000000001</v>
      </c>
      <c r="N42">
        <v>-835.27359999999999</v>
      </c>
      <c r="O42">
        <v>-33.819800000000001</v>
      </c>
      <c r="P42">
        <v>39.207842999999997</v>
      </c>
      <c r="Q42">
        <v>-77.256435999999994</v>
      </c>
      <c r="R42">
        <v>39.202444999999997</v>
      </c>
      <c r="S42">
        <v>-77.255274999999997</v>
      </c>
      <c r="T42">
        <v>12.14</v>
      </c>
      <c r="U42">
        <v>18</v>
      </c>
      <c r="V42" t="s">
        <v>23</v>
      </c>
    </row>
    <row r="43" spans="1:22" x14ac:dyDescent="0.25">
      <c r="A43" t="s">
        <v>24</v>
      </c>
      <c r="B43">
        <v>658080</v>
      </c>
      <c r="C43">
        <v>171</v>
      </c>
      <c r="D43">
        <v>0</v>
      </c>
      <c r="E43" t="s">
        <v>20</v>
      </c>
      <c r="F43">
        <v>25602821146</v>
      </c>
      <c r="G43" t="str">
        <f>DEC2HEX(F43)</f>
        <v>5F60C0C1A</v>
      </c>
      <c r="H43" t="str">
        <f t="shared" si="0"/>
        <v>17D83030</v>
      </c>
      <c r="I43">
        <f>HEX2DEC(H43)</f>
        <v>400044080</v>
      </c>
      <c r="J43" t="s">
        <v>21</v>
      </c>
      <c r="K43" t="s">
        <v>22</v>
      </c>
      <c r="L43">
        <v>-529.75130000000001</v>
      </c>
      <c r="M43">
        <v>-12.046799999999999</v>
      </c>
      <c r="N43">
        <v>-929.75130000000001</v>
      </c>
      <c r="O43">
        <v>-312.04680000000002</v>
      </c>
      <c r="P43">
        <v>39.204399000000002</v>
      </c>
      <c r="Q43">
        <v>-77.253452999999993</v>
      </c>
      <c r="R43">
        <v>39.201698999999998</v>
      </c>
      <c r="S43">
        <v>-77.258098000000004</v>
      </c>
      <c r="T43">
        <v>9.09</v>
      </c>
      <c r="U43">
        <v>20</v>
      </c>
      <c r="V43" t="s">
        <v>23</v>
      </c>
    </row>
    <row r="44" spans="1:22" x14ac:dyDescent="0.25">
      <c r="A44" t="s">
        <v>24</v>
      </c>
      <c r="B44">
        <v>658080</v>
      </c>
      <c r="C44">
        <v>171</v>
      </c>
      <c r="D44">
        <v>2</v>
      </c>
      <c r="E44" t="s">
        <v>20</v>
      </c>
      <c r="F44">
        <v>25602821146</v>
      </c>
      <c r="G44" t="str">
        <f>DEC2HEX(F44)</f>
        <v>5F60C0C1A</v>
      </c>
      <c r="H44" t="str">
        <f t="shared" si="0"/>
        <v>17D83030</v>
      </c>
      <c r="I44">
        <f>HEX2DEC(H44)</f>
        <v>400044080</v>
      </c>
      <c r="J44" t="s">
        <v>21</v>
      </c>
      <c r="K44" t="s">
        <v>22</v>
      </c>
      <c r="L44">
        <v>-665.32560000000001</v>
      </c>
      <c r="M44">
        <v>346.17529999999999</v>
      </c>
      <c r="N44">
        <v>-765.32560000000001</v>
      </c>
      <c r="O44">
        <v>-153.82470000000001</v>
      </c>
      <c r="P44">
        <v>39.207622000000001</v>
      </c>
      <c r="Q44">
        <v>-77.255026999999998</v>
      </c>
      <c r="R44">
        <v>39.203122999999998</v>
      </c>
      <c r="S44">
        <v>-77.256189000000006</v>
      </c>
      <c r="T44">
        <v>14.33</v>
      </c>
      <c r="U44">
        <v>23</v>
      </c>
      <c r="V44" t="s">
        <v>23</v>
      </c>
    </row>
    <row r="45" spans="1:22" x14ac:dyDescent="0.25">
      <c r="A45" t="s">
        <v>24</v>
      </c>
      <c r="B45">
        <v>658080</v>
      </c>
      <c r="C45">
        <v>849</v>
      </c>
      <c r="D45">
        <v>1</v>
      </c>
      <c r="E45" t="s">
        <v>20</v>
      </c>
      <c r="F45">
        <v>25602821170</v>
      </c>
      <c r="G45" t="str">
        <f>DEC2HEX(F45)</f>
        <v>5F60C0C32</v>
      </c>
      <c r="H45" t="str">
        <f t="shared" si="0"/>
        <v>17D83030</v>
      </c>
      <c r="I45">
        <f>HEX2DEC(H45)</f>
        <v>400044080</v>
      </c>
      <c r="J45" t="s">
        <v>21</v>
      </c>
      <c r="K45" t="s">
        <v>22</v>
      </c>
      <c r="L45">
        <v>59.258899999999997</v>
      </c>
      <c r="M45">
        <v>1445.6188</v>
      </c>
      <c r="N45">
        <v>-140.74109999999999</v>
      </c>
      <c r="O45">
        <v>1345.6188</v>
      </c>
      <c r="P45">
        <v>39.198763999999997</v>
      </c>
      <c r="Q45">
        <v>-77.256591999999998</v>
      </c>
      <c r="R45">
        <v>39.197865</v>
      </c>
      <c r="S45">
        <v>-77.258914000000004</v>
      </c>
      <c r="T45">
        <v>8.67</v>
      </c>
      <c r="U45">
        <v>28</v>
      </c>
      <c r="V45" t="s">
        <v>23</v>
      </c>
    </row>
    <row r="46" spans="1:22" x14ac:dyDescent="0.25">
      <c r="A46" t="s">
        <v>24</v>
      </c>
      <c r="B46">
        <v>658080</v>
      </c>
      <c r="C46">
        <v>849</v>
      </c>
      <c r="D46">
        <v>4</v>
      </c>
      <c r="E46" t="s">
        <v>20</v>
      </c>
      <c r="F46">
        <v>25602821170</v>
      </c>
      <c r="G46" t="str">
        <f>DEC2HEX(F46)</f>
        <v>5F60C0C32</v>
      </c>
      <c r="H46" t="str">
        <f t="shared" si="0"/>
        <v>17D83030</v>
      </c>
      <c r="I46">
        <f>HEX2DEC(H46)</f>
        <v>400044080</v>
      </c>
      <c r="J46" t="s">
        <v>21</v>
      </c>
      <c r="K46" t="s">
        <v>22</v>
      </c>
      <c r="L46">
        <v>-902.18349999999998</v>
      </c>
      <c r="M46">
        <v>1379.8121000000001</v>
      </c>
      <c r="N46">
        <v>-902.18349999999998</v>
      </c>
      <c r="O46">
        <v>1679.8121000000001</v>
      </c>
      <c r="P46">
        <v>39.198172</v>
      </c>
      <c r="Q46">
        <v>-77.267752999999999</v>
      </c>
      <c r="R46">
        <v>39.200871999999997</v>
      </c>
      <c r="S46">
        <v>-77.267752999999999</v>
      </c>
      <c r="T46">
        <v>16.75</v>
      </c>
      <c r="U46">
        <v>29</v>
      </c>
      <c r="V46" t="s">
        <v>23</v>
      </c>
    </row>
    <row r="47" spans="1:22" x14ac:dyDescent="0.25">
      <c r="A47" t="s">
        <v>24</v>
      </c>
      <c r="B47">
        <v>658080</v>
      </c>
      <c r="C47">
        <v>849</v>
      </c>
      <c r="D47">
        <v>0</v>
      </c>
      <c r="E47" t="s">
        <v>20</v>
      </c>
      <c r="F47">
        <v>25602821170</v>
      </c>
      <c r="G47" t="str">
        <f>DEC2HEX(F47)</f>
        <v>5F60C0C32</v>
      </c>
      <c r="H47" t="str">
        <f t="shared" si="0"/>
        <v>17D83030</v>
      </c>
      <c r="I47">
        <f>HEX2DEC(H47)</f>
        <v>400044080</v>
      </c>
      <c r="J47" t="s">
        <v>21</v>
      </c>
      <c r="K47" t="s">
        <v>22</v>
      </c>
      <c r="L47">
        <v>333.76400000000001</v>
      </c>
      <c r="M47">
        <v>1742.9757999999999</v>
      </c>
      <c r="N47">
        <v>-66.236000000000004</v>
      </c>
      <c r="O47">
        <v>2042.9757999999999</v>
      </c>
      <c r="P47">
        <v>39.199309</v>
      </c>
      <c r="Q47">
        <v>-77.252071000000001</v>
      </c>
      <c r="R47">
        <v>39.202007999999999</v>
      </c>
      <c r="S47">
        <v>-77.256714000000002</v>
      </c>
      <c r="T47">
        <v>7.08</v>
      </c>
      <c r="U47">
        <v>15</v>
      </c>
      <c r="V47" t="s">
        <v>23</v>
      </c>
    </row>
    <row r="48" spans="1:22" x14ac:dyDescent="0.25">
      <c r="A48" t="s">
        <v>24</v>
      </c>
      <c r="B48">
        <v>658080</v>
      </c>
      <c r="C48">
        <v>849</v>
      </c>
      <c r="D48">
        <v>2</v>
      </c>
      <c r="E48" t="s">
        <v>20</v>
      </c>
      <c r="F48">
        <v>25602821170</v>
      </c>
      <c r="G48" t="str">
        <f>DEC2HEX(F48)</f>
        <v>5F60C0C32</v>
      </c>
      <c r="H48" t="str">
        <f t="shared" si="0"/>
        <v>17D83030</v>
      </c>
      <c r="I48">
        <f>HEX2DEC(H48)</f>
        <v>400044080</v>
      </c>
      <c r="J48" t="s">
        <v>21</v>
      </c>
      <c r="K48" t="s">
        <v>22</v>
      </c>
      <c r="L48">
        <v>626.03549999999996</v>
      </c>
      <c r="M48">
        <v>1200.8032000000001</v>
      </c>
      <c r="N48">
        <v>26.035499999999999</v>
      </c>
      <c r="O48">
        <v>1800.8032000000001</v>
      </c>
      <c r="P48">
        <v>39.201292000000002</v>
      </c>
      <c r="Q48">
        <v>-77.241096999999996</v>
      </c>
      <c r="R48">
        <v>39.206690000000002</v>
      </c>
      <c r="S48">
        <v>-77.248063000000002</v>
      </c>
      <c r="T48">
        <v>10.72</v>
      </c>
      <c r="U48">
        <v>24</v>
      </c>
      <c r="V48" t="s">
        <v>23</v>
      </c>
    </row>
    <row r="49" spans="1:22" x14ac:dyDescent="0.25">
      <c r="A49" t="s">
        <v>24</v>
      </c>
      <c r="B49">
        <v>658080</v>
      </c>
      <c r="C49">
        <v>849</v>
      </c>
      <c r="D49">
        <v>3</v>
      </c>
      <c r="E49" t="s">
        <v>20</v>
      </c>
      <c r="F49">
        <v>25602821170</v>
      </c>
      <c r="G49" t="str">
        <f>DEC2HEX(F49)</f>
        <v>5F60C0C32</v>
      </c>
      <c r="H49" t="str">
        <f t="shared" si="0"/>
        <v>17D83030</v>
      </c>
      <c r="I49">
        <f>HEX2DEC(H49)</f>
        <v>400044080</v>
      </c>
      <c r="J49" t="s">
        <v>21</v>
      </c>
      <c r="K49" t="s">
        <v>22</v>
      </c>
      <c r="L49">
        <v>-1142.0120999999999</v>
      </c>
      <c r="M49">
        <v>763.60199999999998</v>
      </c>
      <c r="N49">
        <v>-1342.0120999999999</v>
      </c>
      <c r="O49">
        <v>763.60199999999998</v>
      </c>
      <c r="P49">
        <v>39.201231999999997</v>
      </c>
      <c r="Q49">
        <v>-77.256861999999998</v>
      </c>
      <c r="R49">
        <v>39.201231999999997</v>
      </c>
      <c r="S49">
        <v>-77.259184000000005</v>
      </c>
      <c r="T49">
        <v>13.95</v>
      </c>
      <c r="U49">
        <v>26</v>
      </c>
      <c r="V49" t="s">
        <v>23</v>
      </c>
    </row>
    <row r="50" spans="1:22" x14ac:dyDescent="0.25">
      <c r="A50" t="s">
        <v>24</v>
      </c>
      <c r="B50">
        <v>658080</v>
      </c>
      <c r="C50">
        <v>849</v>
      </c>
      <c r="D50">
        <v>5</v>
      </c>
      <c r="E50" t="s">
        <v>20</v>
      </c>
      <c r="F50">
        <v>25602821170</v>
      </c>
      <c r="G50" t="str">
        <f>DEC2HEX(F50)</f>
        <v>5F60C0C32</v>
      </c>
      <c r="H50" t="str">
        <f t="shared" si="0"/>
        <v>17D83030</v>
      </c>
      <c r="I50">
        <f>HEX2DEC(H50)</f>
        <v>400044080</v>
      </c>
      <c r="J50" t="s">
        <v>21</v>
      </c>
      <c r="K50" t="s">
        <v>22</v>
      </c>
      <c r="L50">
        <v>-661.23220000000003</v>
      </c>
      <c r="M50">
        <v>584.10500000000002</v>
      </c>
      <c r="N50">
        <v>-1261.2321999999999</v>
      </c>
      <c r="O50">
        <v>784.10500000000002</v>
      </c>
      <c r="P50">
        <v>39.201248</v>
      </c>
      <c r="Q50">
        <v>-77.251998999999998</v>
      </c>
      <c r="R50">
        <v>39.203046999999998</v>
      </c>
      <c r="S50">
        <v>-77.258965000000003</v>
      </c>
      <c r="T50">
        <v>13.59</v>
      </c>
      <c r="U50">
        <v>20</v>
      </c>
      <c r="V50" t="s">
        <v>23</v>
      </c>
    </row>
    <row r="51" spans="1:22" x14ac:dyDescent="0.25">
      <c r="A51" t="s">
        <v>24</v>
      </c>
      <c r="B51">
        <v>658080</v>
      </c>
      <c r="C51">
        <v>322</v>
      </c>
      <c r="D51">
        <v>3</v>
      </c>
      <c r="E51" t="s">
        <v>20</v>
      </c>
      <c r="F51">
        <v>25602821198</v>
      </c>
      <c r="G51" t="str">
        <f>DEC2HEX(F51)</f>
        <v>5F60C0C4E</v>
      </c>
      <c r="H51" t="str">
        <f t="shared" si="0"/>
        <v>17D83031</v>
      </c>
      <c r="I51">
        <f>HEX2DEC(H51)</f>
        <v>400044081</v>
      </c>
      <c r="J51" t="s">
        <v>21</v>
      </c>
      <c r="K51" t="s">
        <v>22</v>
      </c>
      <c r="L51">
        <v>1845.5508</v>
      </c>
      <c r="M51">
        <v>-5133.9670999999998</v>
      </c>
      <c r="N51">
        <v>2445.5508</v>
      </c>
      <c r="O51">
        <v>-4933.9670999999998</v>
      </c>
      <c r="P51">
        <v>39.184997000000003</v>
      </c>
      <c r="Q51">
        <v>-77.263380999999995</v>
      </c>
      <c r="R51">
        <v>39.186796000000001</v>
      </c>
      <c r="S51">
        <v>-77.256411999999997</v>
      </c>
      <c r="T51">
        <v>11.34</v>
      </c>
      <c r="U51">
        <v>31</v>
      </c>
      <c r="V51" t="s">
        <v>23</v>
      </c>
    </row>
    <row r="52" spans="1:22" x14ac:dyDescent="0.25">
      <c r="A52" t="s">
        <v>24</v>
      </c>
      <c r="B52">
        <v>658080</v>
      </c>
      <c r="C52">
        <v>322</v>
      </c>
      <c r="D52">
        <v>1</v>
      </c>
      <c r="E52" t="s">
        <v>20</v>
      </c>
      <c r="F52">
        <v>25602821198</v>
      </c>
      <c r="G52" t="str">
        <f>DEC2HEX(F52)</f>
        <v>5F60C0C4E</v>
      </c>
      <c r="H52" t="str">
        <f t="shared" si="0"/>
        <v>17D83031</v>
      </c>
      <c r="I52">
        <f>HEX2DEC(H52)</f>
        <v>400044081</v>
      </c>
      <c r="J52" t="s">
        <v>21</v>
      </c>
      <c r="K52" t="s">
        <v>22</v>
      </c>
      <c r="L52">
        <v>317.4194</v>
      </c>
      <c r="M52">
        <v>-65.169499999999999</v>
      </c>
      <c r="N52">
        <v>417.4194</v>
      </c>
      <c r="O52">
        <v>-65.169499999999999</v>
      </c>
      <c r="P52">
        <v>39.198748000000002</v>
      </c>
      <c r="Q52">
        <v>-77.261359999999996</v>
      </c>
      <c r="R52">
        <v>39.198748000000002</v>
      </c>
      <c r="S52">
        <v>-77.260198000000003</v>
      </c>
      <c r="T52">
        <v>9.58</v>
      </c>
      <c r="U52">
        <v>31</v>
      </c>
      <c r="V52" t="s">
        <v>23</v>
      </c>
    </row>
    <row r="53" spans="1:22" x14ac:dyDescent="0.25">
      <c r="A53" t="s">
        <v>24</v>
      </c>
      <c r="B53">
        <v>658080</v>
      </c>
      <c r="C53">
        <v>322</v>
      </c>
      <c r="D53">
        <v>4</v>
      </c>
      <c r="E53" t="s">
        <v>20</v>
      </c>
      <c r="F53">
        <v>25602821198</v>
      </c>
      <c r="G53" t="str">
        <f>DEC2HEX(F53)</f>
        <v>5F60C0C4E</v>
      </c>
      <c r="H53" t="str">
        <f t="shared" si="0"/>
        <v>17D83031</v>
      </c>
      <c r="I53">
        <f>HEX2DEC(H53)</f>
        <v>400044081</v>
      </c>
      <c r="J53" t="s">
        <v>21</v>
      </c>
      <c r="K53" t="s">
        <v>22</v>
      </c>
      <c r="L53">
        <v>468.20650000000001</v>
      </c>
      <c r="M53">
        <v>-145.89449999999999</v>
      </c>
      <c r="N53">
        <v>468.20650000000001</v>
      </c>
      <c r="O53">
        <v>54.105499999999999</v>
      </c>
      <c r="P53">
        <v>39.198020999999997</v>
      </c>
      <c r="Q53">
        <v>-77.259608999999998</v>
      </c>
      <c r="R53">
        <v>39.199821</v>
      </c>
      <c r="S53">
        <v>-77.259608999999998</v>
      </c>
      <c r="T53">
        <v>10.38</v>
      </c>
      <c r="U53">
        <v>17</v>
      </c>
      <c r="V53" t="s">
        <v>23</v>
      </c>
    </row>
    <row r="54" spans="1:22" x14ac:dyDescent="0.25">
      <c r="A54" t="s">
        <v>24</v>
      </c>
      <c r="B54">
        <v>658080</v>
      </c>
      <c r="C54">
        <v>322</v>
      </c>
      <c r="D54">
        <v>0</v>
      </c>
      <c r="E54" t="s">
        <v>20</v>
      </c>
      <c r="F54">
        <v>25602821198</v>
      </c>
      <c r="G54" t="str">
        <f>DEC2HEX(F54)</f>
        <v>5F60C0C4E</v>
      </c>
      <c r="H54" t="str">
        <f t="shared" si="0"/>
        <v>17D83031</v>
      </c>
      <c r="I54">
        <f>HEX2DEC(H54)</f>
        <v>400044081</v>
      </c>
      <c r="J54" t="s">
        <v>21</v>
      </c>
      <c r="K54" t="s">
        <v>22</v>
      </c>
      <c r="L54">
        <v>712.8338</v>
      </c>
      <c r="M54">
        <v>-181.9795</v>
      </c>
      <c r="N54">
        <v>1312.8338000000001</v>
      </c>
      <c r="O54">
        <v>18.020499999999998</v>
      </c>
      <c r="P54">
        <v>39.197603000000001</v>
      </c>
      <c r="Q54">
        <v>-77.256673000000006</v>
      </c>
      <c r="R54">
        <v>39.199401999999999</v>
      </c>
      <c r="S54">
        <v>-77.249706000000003</v>
      </c>
      <c r="T54">
        <v>11.69</v>
      </c>
      <c r="U54">
        <v>23</v>
      </c>
      <c r="V54" t="s">
        <v>23</v>
      </c>
    </row>
    <row r="55" spans="1:22" x14ac:dyDescent="0.25">
      <c r="A55" t="s">
        <v>24</v>
      </c>
      <c r="B55">
        <v>658080</v>
      </c>
      <c r="C55">
        <v>322</v>
      </c>
      <c r="D55">
        <v>2</v>
      </c>
      <c r="E55" t="s">
        <v>20</v>
      </c>
      <c r="F55">
        <v>25602821198</v>
      </c>
      <c r="G55" t="str">
        <f>DEC2HEX(F55)</f>
        <v>5F60C0C4E</v>
      </c>
      <c r="H55" t="str">
        <f t="shared" si="0"/>
        <v>17D83031</v>
      </c>
      <c r="I55">
        <f>HEX2DEC(H55)</f>
        <v>400044081</v>
      </c>
      <c r="J55" t="s">
        <v>21</v>
      </c>
      <c r="K55" t="s">
        <v>22</v>
      </c>
      <c r="L55">
        <v>234.25059999999999</v>
      </c>
      <c r="M55">
        <v>-296.37709999999998</v>
      </c>
      <c r="N55">
        <v>234.25059999999999</v>
      </c>
      <c r="O55">
        <v>-196.37710000000001</v>
      </c>
      <c r="P55">
        <v>39.196666999999998</v>
      </c>
      <c r="Q55">
        <v>-77.262325000000004</v>
      </c>
      <c r="R55">
        <v>39.197566999999999</v>
      </c>
      <c r="S55">
        <v>-77.262325000000004</v>
      </c>
      <c r="T55">
        <v>11.34</v>
      </c>
      <c r="U55">
        <v>29</v>
      </c>
      <c r="V55" t="s">
        <v>23</v>
      </c>
    </row>
    <row r="56" spans="1:22" x14ac:dyDescent="0.25">
      <c r="A56" t="s">
        <v>24</v>
      </c>
      <c r="B56">
        <v>658080</v>
      </c>
      <c r="C56">
        <v>322</v>
      </c>
      <c r="D56">
        <v>5</v>
      </c>
      <c r="E56" t="s">
        <v>20</v>
      </c>
      <c r="F56">
        <v>25602821198</v>
      </c>
      <c r="G56" t="str">
        <f>DEC2HEX(F56)</f>
        <v>5F60C0C4E</v>
      </c>
      <c r="H56" t="str">
        <f t="shared" si="0"/>
        <v>17D83031</v>
      </c>
      <c r="I56">
        <f>HEX2DEC(H56)</f>
        <v>400044081</v>
      </c>
      <c r="J56" t="s">
        <v>21</v>
      </c>
      <c r="K56" t="s">
        <v>22</v>
      </c>
      <c r="L56">
        <v>107.8222</v>
      </c>
      <c r="M56">
        <v>-68.9101</v>
      </c>
      <c r="N56">
        <v>307.82220000000001</v>
      </c>
      <c r="O56">
        <v>231.0899</v>
      </c>
      <c r="P56">
        <v>39.197004999999997</v>
      </c>
      <c r="Q56">
        <v>-77.262142999999995</v>
      </c>
      <c r="R56">
        <v>39.199703999999997</v>
      </c>
      <c r="S56">
        <v>-77.259821000000002</v>
      </c>
      <c r="T56">
        <v>13.09</v>
      </c>
      <c r="U56">
        <v>28</v>
      </c>
      <c r="V56" t="s">
        <v>23</v>
      </c>
    </row>
    <row r="57" spans="1:22" x14ac:dyDescent="0.25">
      <c r="A57" t="s">
        <v>24</v>
      </c>
      <c r="B57">
        <v>658080</v>
      </c>
      <c r="C57">
        <v>558</v>
      </c>
      <c r="D57">
        <v>0</v>
      </c>
      <c r="E57" t="s">
        <v>20</v>
      </c>
      <c r="F57">
        <v>25602821222</v>
      </c>
      <c r="G57" t="str">
        <f>DEC2HEX(F57)</f>
        <v>5F60C0C66</v>
      </c>
      <c r="H57" t="str">
        <f t="shared" si="0"/>
        <v>17D83031</v>
      </c>
      <c r="I57">
        <f>HEX2DEC(H57)</f>
        <v>400044081</v>
      </c>
      <c r="J57" t="s">
        <v>21</v>
      </c>
      <c r="K57" t="s">
        <v>22</v>
      </c>
      <c r="L57">
        <v>-130.0573</v>
      </c>
      <c r="M57">
        <v>-133.3588</v>
      </c>
      <c r="N57">
        <v>469.9427</v>
      </c>
      <c r="O57">
        <v>-733.35879999999997</v>
      </c>
      <c r="P57">
        <v>39.230265000000003</v>
      </c>
      <c r="Q57">
        <v>-77.282625999999993</v>
      </c>
      <c r="R57">
        <v>39.224865999999999</v>
      </c>
      <c r="S57">
        <v>-77.275655999999998</v>
      </c>
      <c r="T57">
        <v>6.11</v>
      </c>
      <c r="U57">
        <v>13</v>
      </c>
      <c r="V57" t="s">
        <v>23</v>
      </c>
    </row>
    <row r="58" spans="1:22" x14ac:dyDescent="0.25">
      <c r="A58" t="s">
        <v>24</v>
      </c>
      <c r="B58">
        <v>658080</v>
      </c>
      <c r="C58">
        <v>558</v>
      </c>
      <c r="D58">
        <v>3</v>
      </c>
      <c r="E58" t="s">
        <v>20</v>
      </c>
      <c r="F58">
        <v>25602821222</v>
      </c>
      <c r="G58" t="str">
        <f>DEC2HEX(F58)</f>
        <v>5F60C0C66</v>
      </c>
      <c r="H58" t="str">
        <f t="shared" si="0"/>
        <v>17D83031</v>
      </c>
      <c r="I58">
        <f>HEX2DEC(H58)</f>
        <v>400044081</v>
      </c>
      <c r="J58" t="s">
        <v>21</v>
      </c>
      <c r="K58" t="s">
        <v>22</v>
      </c>
      <c r="L58">
        <v>1684.5878</v>
      </c>
      <c r="M58">
        <v>-3477.7858000000001</v>
      </c>
      <c r="N58">
        <v>2084.5877999999998</v>
      </c>
      <c r="O58">
        <v>-3477.7858000000001</v>
      </c>
      <c r="P58">
        <v>39.200418999999997</v>
      </c>
      <c r="Q58">
        <v>-77.261019000000005</v>
      </c>
      <c r="R58">
        <v>39.200418999999997</v>
      </c>
      <c r="S58">
        <v>-77.256371999999999</v>
      </c>
      <c r="T58">
        <v>6.46</v>
      </c>
      <c r="U58">
        <v>25</v>
      </c>
      <c r="V58" t="s">
        <v>23</v>
      </c>
    </row>
    <row r="59" spans="1:22" x14ac:dyDescent="0.25">
      <c r="A59" t="s">
        <v>24</v>
      </c>
      <c r="B59">
        <v>658080</v>
      </c>
      <c r="C59">
        <v>558</v>
      </c>
      <c r="D59">
        <v>1</v>
      </c>
      <c r="E59" t="s">
        <v>20</v>
      </c>
      <c r="F59">
        <v>25602821222</v>
      </c>
      <c r="G59" t="str">
        <f>DEC2HEX(F59)</f>
        <v>5F60C0C66</v>
      </c>
      <c r="H59" t="str">
        <f t="shared" si="0"/>
        <v>17D83031</v>
      </c>
      <c r="I59">
        <f>HEX2DEC(H59)</f>
        <v>400044081</v>
      </c>
      <c r="J59" t="s">
        <v>21</v>
      </c>
      <c r="K59" t="s">
        <v>22</v>
      </c>
      <c r="L59">
        <v>1919.0790999999999</v>
      </c>
      <c r="M59">
        <v>-3660.8353000000002</v>
      </c>
      <c r="N59">
        <v>2319.0790999999999</v>
      </c>
      <c r="O59">
        <v>-3560.8353000000002</v>
      </c>
      <c r="P59">
        <v>39.199379</v>
      </c>
      <c r="Q59">
        <v>-77.263278999999997</v>
      </c>
      <c r="R59">
        <v>39.200279000000002</v>
      </c>
      <c r="S59">
        <v>-77.258632000000006</v>
      </c>
      <c r="T59">
        <v>8.9</v>
      </c>
      <c r="U59">
        <v>19</v>
      </c>
      <c r="V59" t="s">
        <v>23</v>
      </c>
    </row>
    <row r="60" spans="1:22" x14ac:dyDescent="0.25">
      <c r="A60" t="s">
        <v>24</v>
      </c>
      <c r="B60">
        <v>658080</v>
      </c>
      <c r="C60">
        <v>558</v>
      </c>
      <c r="D60">
        <v>4</v>
      </c>
      <c r="E60" t="s">
        <v>20</v>
      </c>
      <c r="F60">
        <v>25602821222</v>
      </c>
      <c r="G60" t="str">
        <f>DEC2HEX(F60)</f>
        <v>5F60C0C66</v>
      </c>
      <c r="H60" t="str">
        <f t="shared" si="0"/>
        <v>17D83031</v>
      </c>
      <c r="I60">
        <f>HEX2DEC(H60)</f>
        <v>400044081</v>
      </c>
      <c r="J60" t="s">
        <v>21</v>
      </c>
      <c r="K60" t="s">
        <v>22</v>
      </c>
      <c r="L60">
        <v>1665.2683999999999</v>
      </c>
      <c r="M60">
        <v>-2412.4301</v>
      </c>
      <c r="N60">
        <v>1765.2683999999999</v>
      </c>
      <c r="O60">
        <v>-2412.4301</v>
      </c>
      <c r="P60">
        <v>39.199246000000002</v>
      </c>
      <c r="Q60">
        <v>-77.260295999999997</v>
      </c>
      <c r="R60">
        <v>39.199246000000002</v>
      </c>
      <c r="S60">
        <v>-77.259135000000001</v>
      </c>
      <c r="T60">
        <v>15.04</v>
      </c>
      <c r="U60">
        <v>23</v>
      </c>
      <c r="V60" t="s">
        <v>23</v>
      </c>
    </row>
    <row r="61" spans="1:22" x14ac:dyDescent="0.25">
      <c r="A61" t="s">
        <v>24</v>
      </c>
      <c r="B61">
        <v>658080</v>
      </c>
      <c r="C61">
        <v>558</v>
      </c>
      <c r="D61">
        <v>5</v>
      </c>
      <c r="E61" t="s">
        <v>20</v>
      </c>
      <c r="F61">
        <v>25602821222</v>
      </c>
      <c r="G61" t="str">
        <f>DEC2HEX(F61)</f>
        <v>5F60C0C66</v>
      </c>
      <c r="H61" t="str">
        <f t="shared" si="0"/>
        <v>17D83031</v>
      </c>
      <c r="I61">
        <f>HEX2DEC(H61)</f>
        <v>400044081</v>
      </c>
      <c r="J61" t="s">
        <v>21</v>
      </c>
      <c r="K61" t="s">
        <v>22</v>
      </c>
      <c r="L61">
        <v>52.661299999999997</v>
      </c>
      <c r="M61">
        <v>-678.32420000000002</v>
      </c>
      <c r="N61">
        <v>352.66129999999998</v>
      </c>
      <c r="O61">
        <v>-778.32420000000002</v>
      </c>
      <c r="P61">
        <v>39.198343000000001</v>
      </c>
      <c r="Q61">
        <v>-77.270262000000002</v>
      </c>
      <c r="R61">
        <v>39.197443</v>
      </c>
      <c r="S61">
        <v>-77.266778000000002</v>
      </c>
      <c r="T61">
        <v>11.5</v>
      </c>
      <c r="U61">
        <v>10</v>
      </c>
      <c r="V61" t="s">
        <v>23</v>
      </c>
    </row>
    <row r="62" spans="1:22" x14ac:dyDescent="0.25">
      <c r="A62" t="s">
        <v>24</v>
      </c>
      <c r="B62">
        <v>658080</v>
      </c>
      <c r="C62">
        <v>558</v>
      </c>
      <c r="D62">
        <v>2</v>
      </c>
      <c r="E62" t="s">
        <v>20</v>
      </c>
      <c r="F62">
        <v>25602821222</v>
      </c>
      <c r="G62" t="str">
        <f>DEC2HEX(F62)</f>
        <v>5F60C0C66</v>
      </c>
      <c r="H62" t="str">
        <f t="shared" si="0"/>
        <v>17D83031</v>
      </c>
      <c r="I62">
        <f>HEX2DEC(H62)</f>
        <v>400044081</v>
      </c>
      <c r="J62" t="s">
        <v>21</v>
      </c>
      <c r="K62" t="s">
        <v>22</v>
      </c>
      <c r="L62">
        <v>438.202</v>
      </c>
      <c r="M62">
        <v>-466.95690000000002</v>
      </c>
      <c r="N62">
        <v>538.202</v>
      </c>
      <c r="O62">
        <v>-466.95690000000002</v>
      </c>
      <c r="P62">
        <v>39.199365</v>
      </c>
      <c r="Q62">
        <v>-77.264663999999996</v>
      </c>
      <c r="R62">
        <v>39.199365</v>
      </c>
      <c r="S62">
        <v>-77.263503</v>
      </c>
      <c r="T62">
        <v>6.27</v>
      </c>
      <c r="U62">
        <v>22</v>
      </c>
      <c r="V62" t="s">
        <v>23</v>
      </c>
    </row>
    <row r="63" spans="1:22" x14ac:dyDescent="0.25">
      <c r="A63" t="s">
        <v>24</v>
      </c>
      <c r="B63">
        <v>0</v>
      </c>
      <c r="C63">
        <v>171</v>
      </c>
      <c r="D63">
        <v>4</v>
      </c>
      <c r="E63" t="s">
        <v>20</v>
      </c>
      <c r="F63">
        <v>25602821146</v>
      </c>
      <c r="G63" t="str">
        <f>DEC2HEX(F63)</f>
        <v>5F60C0C1A</v>
      </c>
      <c r="H63" t="str">
        <f t="shared" si="0"/>
        <v>17D83030</v>
      </c>
      <c r="I63">
        <f>HEX2DEC(H63)</f>
        <v>400044080</v>
      </c>
      <c r="J63" t="s">
        <v>21</v>
      </c>
      <c r="K63" t="s">
        <v>22</v>
      </c>
      <c r="L63">
        <v>1749.1913</v>
      </c>
      <c r="M63">
        <v>-2882.6511999999998</v>
      </c>
      <c r="N63">
        <v>1949.1913</v>
      </c>
      <c r="O63">
        <v>-3082.6511999999998</v>
      </c>
      <c r="P63">
        <v>39.205115999999997</v>
      </c>
      <c r="Q63">
        <v>-77.260558000000003</v>
      </c>
      <c r="R63">
        <v>39.203316000000001</v>
      </c>
      <c r="S63">
        <v>-77.258234999999999</v>
      </c>
      <c r="T63">
        <v>10.26</v>
      </c>
      <c r="U63">
        <v>46</v>
      </c>
      <c r="V63" t="s">
        <v>23</v>
      </c>
    </row>
    <row r="64" spans="1:22" x14ac:dyDescent="0.25">
      <c r="A64" t="s">
        <v>24</v>
      </c>
      <c r="B64">
        <v>0</v>
      </c>
      <c r="C64">
        <v>171</v>
      </c>
      <c r="D64">
        <v>1</v>
      </c>
      <c r="E64" t="s">
        <v>20</v>
      </c>
      <c r="F64">
        <v>25602821146</v>
      </c>
      <c r="G64" t="str">
        <f>DEC2HEX(F64)</f>
        <v>5F60C0C1A</v>
      </c>
      <c r="H64" t="str">
        <f t="shared" si="0"/>
        <v>17D83030</v>
      </c>
      <c r="I64">
        <f>HEX2DEC(H64)</f>
        <v>400044080</v>
      </c>
      <c r="J64" t="s">
        <v>21</v>
      </c>
      <c r="K64" t="s">
        <v>22</v>
      </c>
      <c r="L64">
        <v>1394.3182999999999</v>
      </c>
      <c r="M64">
        <v>-1287.7905000000001</v>
      </c>
      <c r="N64">
        <v>1794.3182999999999</v>
      </c>
      <c r="O64">
        <v>-1887.7905000000001</v>
      </c>
      <c r="P64">
        <v>39.207332999999998</v>
      </c>
      <c r="Q64">
        <v>-77.262587999999994</v>
      </c>
      <c r="R64">
        <v>39.201934000000001</v>
      </c>
      <c r="S64">
        <v>-77.257942999999997</v>
      </c>
      <c r="T64">
        <v>11.65</v>
      </c>
      <c r="U64">
        <v>23</v>
      </c>
      <c r="V64" t="s">
        <v>23</v>
      </c>
    </row>
    <row r="65" spans="1:22" x14ac:dyDescent="0.25">
      <c r="A65" t="s">
        <v>24</v>
      </c>
      <c r="B65">
        <v>0</v>
      </c>
      <c r="C65">
        <v>171</v>
      </c>
      <c r="D65">
        <v>3</v>
      </c>
      <c r="E65" t="s">
        <v>20</v>
      </c>
      <c r="F65">
        <v>25602821146</v>
      </c>
      <c r="G65" t="str">
        <f>DEC2HEX(F65)</f>
        <v>5F60C0C1A</v>
      </c>
      <c r="H65" t="str">
        <f t="shared" si="0"/>
        <v>17D83030</v>
      </c>
      <c r="I65">
        <f>HEX2DEC(H65)</f>
        <v>400044080</v>
      </c>
      <c r="J65" t="s">
        <v>21</v>
      </c>
      <c r="K65" t="s">
        <v>22</v>
      </c>
      <c r="L65">
        <v>-942.16189999999995</v>
      </c>
      <c r="M65">
        <v>-218.73740000000001</v>
      </c>
      <c r="N65">
        <v>-942.16189999999995</v>
      </c>
      <c r="O65">
        <v>-218.73740000000001</v>
      </c>
      <c r="P65">
        <v>39.202612999999999</v>
      </c>
      <c r="Q65">
        <v>-77.257799000000006</v>
      </c>
      <c r="R65">
        <v>39.202612999999999</v>
      </c>
      <c r="S65">
        <v>-77.257799000000006</v>
      </c>
      <c r="T65">
        <v>9.08</v>
      </c>
      <c r="U65">
        <v>25</v>
      </c>
      <c r="V65" t="s">
        <v>23</v>
      </c>
    </row>
    <row r="66" spans="1:22" x14ac:dyDescent="0.25">
      <c r="A66" t="s">
        <v>24</v>
      </c>
      <c r="B66">
        <v>0</v>
      </c>
      <c r="C66">
        <v>171</v>
      </c>
      <c r="D66">
        <v>0</v>
      </c>
      <c r="E66" t="s">
        <v>20</v>
      </c>
      <c r="F66">
        <v>25602821146</v>
      </c>
      <c r="G66" t="str">
        <f>DEC2HEX(F66)</f>
        <v>5F60C0C1A</v>
      </c>
      <c r="H66" t="str">
        <f t="shared" si="0"/>
        <v>17D83030</v>
      </c>
      <c r="I66">
        <f>HEX2DEC(H66)</f>
        <v>400044080</v>
      </c>
      <c r="J66" t="s">
        <v>21</v>
      </c>
      <c r="K66" t="s">
        <v>22</v>
      </c>
      <c r="L66">
        <v>-619.54939999999999</v>
      </c>
      <c r="M66">
        <v>-25.253499999999999</v>
      </c>
      <c r="N66">
        <v>-919.54939999999999</v>
      </c>
      <c r="O66">
        <v>-225.2535</v>
      </c>
      <c r="P66">
        <v>39.204400999999997</v>
      </c>
      <c r="Q66">
        <v>-77.253738999999996</v>
      </c>
      <c r="R66">
        <v>39.202601000000001</v>
      </c>
      <c r="S66">
        <v>-77.257221999999999</v>
      </c>
      <c r="T66">
        <v>9.64</v>
      </c>
      <c r="U66">
        <v>21</v>
      </c>
      <c r="V66" t="s">
        <v>23</v>
      </c>
    </row>
    <row r="67" spans="1:22" x14ac:dyDescent="0.25">
      <c r="A67" t="s">
        <v>24</v>
      </c>
      <c r="B67">
        <v>0</v>
      </c>
      <c r="C67">
        <v>171</v>
      </c>
      <c r="D67">
        <v>2</v>
      </c>
      <c r="E67" t="s">
        <v>20</v>
      </c>
      <c r="F67">
        <v>25602821146</v>
      </c>
      <c r="G67" t="str">
        <f>DEC2HEX(F67)</f>
        <v>5F60C0C1A</v>
      </c>
      <c r="H67" t="str">
        <f t="shared" si="0"/>
        <v>17D83030</v>
      </c>
      <c r="I67">
        <f>HEX2DEC(H67)</f>
        <v>400044080</v>
      </c>
      <c r="J67" t="s">
        <v>21</v>
      </c>
      <c r="K67" t="s">
        <v>22</v>
      </c>
      <c r="L67">
        <v>-706.11159999999995</v>
      </c>
      <c r="M67">
        <v>398.00639999999999</v>
      </c>
      <c r="N67">
        <v>-906.11159999999995</v>
      </c>
      <c r="O67">
        <v>-201.99359999999999</v>
      </c>
      <c r="P67">
        <v>39.208204000000002</v>
      </c>
      <c r="Q67">
        <v>-77.254776000000007</v>
      </c>
      <c r="R67">
        <v>39.202806000000002</v>
      </c>
      <c r="S67">
        <v>-77.257097999999999</v>
      </c>
      <c r="T67">
        <v>11.41</v>
      </c>
      <c r="U67">
        <v>28</v>
      </c>
      <c r="V67" t="s">
        <v>23</v>
      </c>
    </row>
    <row r="68" spans="1:22" x14ac:dyDescent="0.25">
      <c r="A68" t="s">
        <v>24</v>
      </c>
      <c r="B68">
        <v>0</v>
      </c>
      <c r="C68">
        <v>849</v>
      </c>
      <c r="D68">
        <v>0</v>
      </c>
      <c r="E68" t="s">
        <v>20</v>
      </c>
      <c r="F68">
        <v>25602821170</v>
      </c>
      <c r="G68" t="str">
        <f>DEC2HEX(F68)</f>
        <v>5F60C0C32</v>
      </c>
      <c r="H68" t="str">
        <f t="shared" si="0"/>
        <v>17D83030</v>
      </c>
      <c r="I68">
        <f>HEX2DEC(H68)</f>
        <v>400044080</v>
      </c>
      <c r="J68" t="s">
        <v>21</v>
      </c>
      <c r="K68" t="s">
        <v>22</v>
      </c>
      <c r="L68">
        <v>168.9177</v>
      </c>
      <c r="M68">
        <v>1802.2636</v>
      </c>
      <c r="N68">
        <v>-31.0823</v>
      </c>
      <c r="O68">
        <v>1902.2636</v>
      </c>
      <c r="P68">
        <v>39.199860000000001</v>
      </c>
      <c r="Q68">
        <v>-77.253934999999998</v>
      </c>
      <c r="R68">
        <v>39.200760000000002</v>
      </c>
      <c r="S68">
        <v>-77.256257000000005</v>
      </c>
      <c r="T68">
        <v>7</v>
      </c>
      <c r="U68">
        <v>15</v>
      </c>
      <c r="V68" t="s">
        <v>23</v>
      </c>
    </row>
    <row r="69" spans="1:22" x14ac:dyDescent="0.25">
      <c r="A69" t="s">
        <v>24</v>
      </c>
      <c r="B69">
        <v>0</v>
      </c>
      <c r="C69">
        <v>849</v>
      </c>
      <c r="D69">
        <v>4</v>
      </c>
      <c r="E69" t="s">
        <v>20</v>
      </c>
      <c r="F69">
        <v>25602821170</v>
      </c>
      <c r="G69" t="str">
        <f>DEC2HEX(F69)</f>
        <v>5F60C0C32</v>
      </c>
      <c r="H69" t="str">
        <f t="shared" si="0"/>
        <v>17D83030</v>
      </c>
      <c r="I69">
        <f>HEX2DEC(H69)</f>
        <v>400044080</v>
      </c>
      <c r="J69" t="s">
        <v>21</v>
      </c>
      <c r="K69" t="s">
        <v>22</v>
      </c>
      <c r="L69">
        <v>-329.25900000000001</v>
      </c>
      <c r="M69">
        <v>1853.1434999999999</v>
      </c>
      <c r="N69">
        <v>-329.25900000000001</v>
      </c>
      <c r="O69">
        <v>1853.1434999999999</v>
      </c>
      <c r="P69">
        <v>39.200802000000003</v>
      </c>
      <c r="Q69">
        <v>-77.258836000000002</v>
      </c>
      <c r="R69">
        <v>39.200802000000003</v>
      </c>
      <c r="S69">
        <v>-77.258836000000002</v>
      </c>
      <c r="T69">
        <v>16.12</v>
      </c>
      <c r="U69">
        <v>29</v>
      </c>
      <c r="V69" t="s">
        <v>23</v>
      </c>
    </row>
    <row r="70" spans="1:22" x14ac:dyDescent="0.25">
      <c r="A70" t="s">
        <v>24</v>
      </c>
      <c r="B70">
        <v>0</v>
      </c>
      <c r="C70">
        <v>849</v>
      </c>
      <c r="D70">
        <v>1</v>
      </c>
      <c r="E70" t="s">
        <v>20</v>
      </c>
      <c r="F70">
        <v>25602821170</v>
      </c>
      <c r="G70" t="str">
        <f>DEC2HEX(F70)</f>
        <v>5F60C0C32</v>
      </c>
      <c r="H70" t="str">
        <f t="shared" si="0"/>
        <v>17D83030</v>
      </c>
      <c r="I70">
        <f>HEX2DEC(H70)</f>
        <v>400044080</v>
      </c>
      <c r="J70" t="s">
        <v>21</v>
      </c>
      <c r="K70" t="s">
        <v>22</v>
      </c>
      <c r="L70">
        <v>-29.196999999999999</v>
      </c>
      <c r="M70">
        <v>1669.0543</v>
      </c>
      <c r="N70">
        <v>-329.197</v>
      </c>
      <c r="O70">
        <v>1769.0543</v>
      </c>
      <c r="P70">
        <v>39.199418999999999</v>
      </c>
      <c r="Q70">
        <v>-77.254986000000002</v>
      </c>
      <c r="R70">
        <v>39.200318000000003</v>
      </c>
      <c r="S70">
        <v>-77.258467999999993</v>
      </c>
      <c r="T70">
        <v>8.7899999999999991</v>
      </c>
      <c r="U70">
        <v>26</v>
      </c>
      <c r="V70" t="s">
        <v>23</v>
      </c>
    </row>
    <row r="71" spans="1:22" x14ac:dyDescent="0.25">
      <c r="A71" t="s">
        <v>24</v>
      </c>
      <c r="B71">
        <v>0</v>
      </c>
      <c r="C71">
        <v>849</v>
      </c>
      <c r="D71">
        <v>2</v>
      </c>
      <c r="E71" t="s">
        <v>20</v>
      </c>
      <c r="F71">
        <v>25602821170</v>
      </c>
      <c r="G71" t="str">
        <f>DEC2HEX(F71)</f>
        <v>5F60C0C32</v>
      </c>
      <c r="H71" t="str">
        <f t="shared" si="0"/>
        <v>17D83030</v>
      </c>
      <c r="I71">
        <f>HEX2DEC(H71)</f>
        <v>400044080</v>
      </c>
      <c r="J71" t="s">
        <v>21</v>
      </c>
      <c r="K71" t="s">
        <v>22</v>
      </c>
      <c r="L71">
        <v>785.92</v>
      </c>
      <c r="M71">
        <v>1198.3032000000001</v>
      </c>
      <c r="N71">
        <v>185.92</v>
      </c>
      <c r="O71">
        <v>1798.3032000000001</v>
      </c>
      <c r="P71">
        <v>39.200898000000002</v>
      </c>
      <c r="Q71">
        <v>-77.240132000000003</v>
      </c>
      <c r="R71">
        <v>39.206296999999999</v>
      </c>
      <c r="S71">
        <v>-77.247097999999994</v>
      </c>
      <c r="T71">
        <v>11.16</v>
      </c>
      <c r="U71">
        <v>24</v>
      </c>
      <c r="V71" t="s">
        <v>23</v>
      </c>
    </row>
    <row r="72" spans="1:22" x14ac:dyDescent="0.25">
      <c r="A72" t="s">
        <v>24</v>
      </c>
      <c r="B72">
        <v>0</v>
      </c>
      <c r="C72">
        <v>849</v>
      </c>
      <c r="D72">
        <v>3</v>
      </c>
      <c r="E72" t="s">
        <v>20</v>
      </c>
      <c r="F72">
        <v>25602821170</v>
      </c>
      <c r="G72" t="str">
        <f>DEC2HEX(F72)</f>
        <v>5F60C0C32</v>
      </c>
      <c r="H72" t="str">
        <f t="shared" si="0"/>
        <v>17D83030</v>
      </c>
      <c r="I72">
        <f>HEX2DEC(H72)</f>
        <v>400044080</v>
      </c>
      <c r="J72" t="s">
        <v>21</v>
      </c>
      <c r="K72" t="s">
        <v>22</v>
      </c>
      <c r="L72">
        <v>-1123.0610999999999</v>
      </c>
      <c r="M72">
        <v>814.5489</v>
      </c>
      <c r="N72">
        <v>-1523.0610999999999</v>
      </c>
      <c r="O72">
        <v>814.5489</v>
      </c>
      <c r="P72">
        <v>39.200781999999997</v>
      </c>
      <c r="Q72">
        <v>-77.256200000000007</v>
      </c>
      <c r="R72">
        <v>39.200781999999997</v>
      </c>
      <c r="S72">
        <v>-77.260844000000006</v>
      </c>
      <c r="T72">
        <v>13.67</v>
      </c>
      <c r="U72">
        <v>28</v>
      </c>
      <c r="V72" t="s">
        <v>23</v>
      </c>
    </row>
    <row r="73" spans="1:22" x14ac:dyDescent="0.25">
      <c r="A73" t="s">
        <v>24</v>
      </c>
      <c r="B73">
        <v>0</v>
      </c>
      <c r="C73">
        <v>849</v>
      </c>
      <c r="D73">
        <v>5</v>
      </c>
      <c r="E73" t="s">
        <v>20</v>
      </c>
      <c r="F73">
        <v>25602821170</v>
      </c>
      <c r="G73" t="str">
        <f>DEC2HEX(F73)</f>
        <v>5F60C0C32</v>
      </c>
      <c r="H73" t="str">
        <f t="shared" si="0"/>
        <v>17D83030</v>
      </c>
      <c r="I73">
        <f>HEX2DEC(H73)</f>
        <v>400044080</v>
      </c>
      <c r="J73" t="s">
        <v>21</v>
      </c>
      <c r="K73" t="s">
        <v>22</v>
      </c>
      <c r="L73">
        <v>-532.96439999999996</v>
      </c>
      <c r="M73">
        <v>469.66699999999997</v>
      </c>
      <c r="N73">
        <v>-1132.9644000000001</v>
      </c>
      <c r="O73">
        <v>469.66699999999997</v>
      </c>
      <c r="P73">
        <v>39.200882999999997</v>
      </c>
      <c r="Q73">
        <v>-77.250698</v>
      </c>
      <c r="R73">
        <v>39.200882999999997</v>
      </c>
      <c r="S73">
        <v>-77.257664000000005</v>
      </c>
      <c r="T73">
        <v>13.57</v>
      </c>
      <c r="U73">
        <v>19</v>
      </c>
      <c r="V73" t="s">
        <v>23</v>
      </c>
    </row>
    <row r="74" spans="1:22" x14ac:dyDescent="0.25">
      <c r="A74" t="s">
        <v>24</v>
      </c>
      <c r="B74">
        <v>0</v>
      </c>
      <c r="C74">
        <v>322</v>
      </c>
      <c r="D74">
        <v>3</v>
      </c>
      <c r="E74" t="s">
        <v>20</v>
      </c>
      <c r="F74">
        <v>25602821198</v>
      </c>
      <c r="G74" t="str">
        <f>DEC2HEX(F74)</f>
        <v>5F60C0C4E</v>
      </c>
      <c r="H74" t="str">
        <f t="shared" si="0"/>
        <v>17D83031</v>
      </c>
      <c r="I74">
        <f>HEX2DEC(H74)</f>
        <v>400044081</v>
      </c>
      <c r="J74" t="s">
        <v>21</v>
      </c>
      <c r="K74" t="s">
        <v>22</v>
      </c>
      <c r="L74">
        <v>2244.7507999999998</v>
      </c>
      <c r="M74">
        <v>-4987.3172000000004</v>
      </c>
      <c r="N74">
        <v>2544.7507999999998</v>
      </c>
      <c r="O74">
        <v>-4887.3172000000004</v>
      </c>
      <c r="P74">
        <v>39.186272000000002</v>
      </c>
      <c r="Q74">
        <v>-77.258716000000007</v>
      </c>
      <c r="R74">
        <v>39.187171999999997</v>
      </c>
      <c r="S74">
        <v>-77.255230999999995</v>
      </c>
      <c r="T74">
        <v>12.22</v>
      </c>
      <c r="U74">
        <v>25</v>
      </c>
      <c r="V74" t="s">
        <v>23</v>
      </c>
    </row>
    <row r="75" spans="1:22" x14ac:dyDescent="0.25">
      <c r="A75" t="s">
        <v>24</v>
      </c>
      <c r="B75">
        <v>0</v>
      </c>
      <c r="C75">
        <v>322</v>
      </c>
      <c r="D75">
        <v>5</v>
      </c>
      <c r="E75" t="s">
        <v>20</v>
      </c>
      <c r="F75">
        <v>25602821198</v>
      </c>
      <c r="G75" t="str">
        <f>DEC2HEX(F75)</f>
        <v>5F60C0C4E</v>
      </c>
      <c r="H75" t="str">
        <f t="shared" si="0"/>
        <v>17D83031</v>
      </c>
      <c r="I75">
        <f>HEX2DEC(H75)</f>
        <v>400044081</v>
      </c>
      <c r="J75" t="s">
        <v>21</v>
      </c>
      <c r="K75" t="s">
        <v>22</v>
      </c>
      <c r="L75">
        <v>40.732100000000003</v>
      </c>
      <c r="M75">
        <v>-75.873199999999997</v>
      </c>
      <c r="N75">
        <v>340.7321</v>
      </c>
      <c r="O75">
        <v>524.1268</v>
      </c>
      <c r="P75">
        <v>39.195928000000002</v>
      </c>
      <c r="Q75">
        <v>-77.262096999999997</v>
      </c>
      <c r="R75">
        <v>39.201326999999999</v>
      </c>
      <c r="S75">
        <v>-77.258613999999994</v>
      </c>
      <c r="T75">
        <v>12.86</v>
      </c>
      <c r="U75">
        <v>25</v>
      </c>
      <c r="V75" t="s">
        <v>23</v>
      </c>
    </row>
    <row r="76" spans="1:22" x14ac:dyDescent="0.25">
      <c r="A76" t="s">
        <v>24</v>
      </c>
      <c r="B76">
        <v>0</v>
      </c>
      <c r="C76">
        <v>322</v>
      </c>
      <c r="D76">
        <v>1</v>
      </c>
      <c r="E76" t="s">
        <v>20</v>
      </c>
      <c r="F76">
        <v>25602821198</v>
      </c>
      <c r="G76" t="str">
        <f>DEC2HEX(F76)</f>
        <v>5F60C0C4E</v>
      </c>
      <c r="H76" t="str">
        <f t="shared" si="0"/>
        <v>17D83031</v>
      </c>
      <c r="I76">
        <f>HEX2DEC(H76)</f>
        <v>400044081</v>
      </c>
      <c r="J76" t="s">
        <v>21</v>
      </c>
      <c r="K76" t="s">
        <v>22</v>
      </c>
      <c r="L76">
        <v>25.614899999999999</v>
      </c>
      <c r="M76">
        <v>-64.479500000000002</v>
      </c>
      <c r="N76">
        <v>125.61490000000001</v>
      </c>
      <c r="O76">
        <v>-64.479500000000002</v>
      </c>
      <c r="P76">
        <v>39.196030999999998</v>
      </c>
      <c r="Q76">
        <v>-77.262272999999993</v>
      </c>
      <c r="R76">
        <v>39.196030999999998</v>
      </c>
      <c r="S76">
        <v>-77.261111999999997</v>
      </c>
      <c r="T76">
        <v>9.31</v>
      </c>
      <c r="U76">
        <v>30</v>
      </c>
      <c r="V76" t="s">
        <v>23</v>
      </c>
    </row>
    <row r="77" spans="1:22" x14ac:dyDescent="0.25">
      <c r="A77" t="s">
        <v>24</v>
      </c>
      <c r="B77">
        <v>0</v>
      </c>
      <c r="C77">
        <v>322</v>
      </c>
      <c r="D77">
        <v>2</v>
      </c>
      <c r="E77" t="s">
        <v>20</v>
      </c>
      <c r="F77">
        <v>25602821198</v>
      </c>
      <c r="G77" t="str">
        <f>DEC2HEX(F77)</f>
        <v>5F60C0C4E</v>
      </c>
      <c r="H77" t="str">
        <f t="shared" si="0"/>
        <v>17D83031</v>
      </c>
      <c r="I77">
        <f>HEX2DEC(H77)</f>
        <v>400044081</v>
      </c>
      <c r="J77" t="s">
        <v>21</v>
      </c>
      <c r="K77" t="s">
        <v>22</v>
      </c>
      <c r="L77">
        <v>-19.0672</v>
      </c>
      <c r="M77">
        <v>-562.61580000000004</v>
      </c>
      <c r="N77">
        <v>-119.0672</v>
      </c>
      <c r="O77">
        <v>-662.61580000000004</v>
      </c>
      <c r="P77">
        <v>39.192615000000004</v>
      </c>
      <c r="Q77">
        <v>-77.263661999999997</v>
      </c>
      <c r="R77">
        <v>39.191715000000002</v>
      </c>
      <c r="S77">
        <v>-77.264823000000007</v>
      </c>
      <c r="T77">
        <v>10.210000000000001</v>
      </c>
      <c r="U77">
        <v>34</v>
      </c>
      <c r="V77" t="s">
        <v>23</v>
      </c>
    </row>
    <row r="78" spans="1:22" x14ac:dyDescent="0.25">
      <c r="A78" t="s">
        <v>24</v>
      </c>
      <c r="B78">
        <v>0</v>
      </c>
      <c r="C78">
        <v>322</v>
      </c>
      <c r="D78">
        <v>0</v>
      </c>
      <c r="E78" t="s">
        <v>20</v>
      </c>
      <c r="F78">
        <v>25602821198</v>
      </c>
      <c r="G78" t="str">
        <f>DEC2HEX(F78)</f>
        <v>5F60C0C4E</v>
      </c>
      <c r="H78" t="str">
        <f t="shared" si="0"/>
        <v>17D83031</v>
      </c>
      <c r="I78">
        <f>HEX2DEC(H78)</f>
        <v>400044081</v>
      </c>
      <c r="J78" t="s">
        <v>21</v>
      </c>
      <c r="K78" t="s">
        <v>22</v>
      </c>
      <c r="L78">
        <v>458.47789999999998</v>
      </c>
      <c r="M78">
        <v>-209.01169999999999</v>
      </c>
      <c r="N78">
        <v>958.47789999999998</v>
      </c>
      <c r="O78">
        <v>90.988299999999995</v>
      </c>
      <c r="P78">
        <v>39.195587000000003</v>
      </c>
      <c r="Q78">
        <v>-77.257938999999993</v>
      </c>
      <c r="R78">
        <v>39.198287000000001</v>
      </c>
      <c r="S78">
        <v>-77.252133999999998</v>
      </c>
      <c r="T78">
        <v>11.85</v>
      </c>
      <c r="U78">
        <v>20</v>
      </c>
      <c r="V78" t="s">
        <v>23</v>
      </c>
    </row>
    <row r="79" spans="1:22" x14ac:dyDescent="0.25">
      <c r="A79" t="s">
        <v>24</v>
      </c>
      <c r="B79">
        <v>0</v>
      </c>
      <c r="C79">
        <v>322</v>
      </c>
      <c r="D79">
        <v>4</v>
      </c>
      <c r="E79" t="s">
        <v>20</v>
      </c>
      <c r="F79">
        <v>25602821198</v>
      </c>
      <c r="G79" t="str">
        <f>DEC2HEX(F79)</f>
        <v>5F60C0C4E</v>
      </c>
      <c r="H79" t="str">
        <f t="shared" si="0"/>
        <v>17D83031</v>
      </c>
      <c r="I79">
        <f>HEX2DEC(H79)</f>
        <v>400044081</v>
      </c>
      <c r="J79" t="s">
        <v>21</v>
      </c>
      <c r="K79" t="s">
        <v>22</v>
      </c>
      <c r="L79">
        <v>627.26329999999996</v>
      </c>
      <c r="M79">
        <v>-609.26419999999996</v>
      </c>
      <c r="N79">
        <v>127.2633</v>
      </c>
      <c r="O79">
        <v>-9.2642000000000007</v>
      </c>
      <c r="P79">
        <v>39.190255999999998</v>
      </c>
      <c r="Q79">
        <v>-77.254654000000002</v>
      </c>
      <c r="R79">
        <v>39.195655000000002</v>
      </c>
      <c r="S79">
        <v>-77.260458999999997</v>
      </c>
      <c r="T79">
        <v>11.46</v>
      </c>
      <c r="U79">
        <v>18</v>
      </c>
      <c r="V79" t="s">
        <v>23</v>
      </c>
    </row>
    <row r="80" spans="1:22" x14ac:dyDescent="0.25">
      <c r="A80" t="s">
        <v>24</v>
      </c>
      <c r="B80">
        <v>0</v>
      </c>
      <c r="C80">
        <v>558</v>
      </c>
      <c r="D80">
        <v>0</v>
      </c>
      <c r="E80" t="s">
        <v>20</v>
      </c>
      <c r="F80">
        <v>25602821222</v>
      </c>
      <c r="G80" t="str">
        <f>DEC2HEX(F80)</f>
        <v>5F60C0C66</v>
      </c>
      <c r="H80" t="str">
        <f t="shared" si="0"/>
        <v>17D83031</v>
      </c>
      <c r="I80">
        <f>HEX2DEC(H80)</f>
        <v>400044081</v>
      </c>
      <c r="J80" t="s">
        <v>21</v>
      </c>
      <c r="K80" t="s">
        <v>22</v>
      </c>
      <c r="L80">
        <v>-86.222099999999998</v>
      </c>
      <c r="M80">
        <v>-229.0975</v>
      </c>
      <c r="N80">
        <v>513.77790000000005</v>
      </c>
      <c r="O80">
        <v>-829.09749999999997</v>
      </c>
      <c r="P80">
        <v>39.229404000000002</v>
      </c>
      <c r="Q80">
        <v>-77.282117</v>
      </c>
      <c r="R80">
        <v>39.224004999999998</v>
      </c>
      <c r="S80">
        <v>-77.275147000000004</v>
      </c>
      <c r="T80">
        <v>4.78</v>
      </c>
      <c r="U80">
        <v>12</v>
      </c>
      <c r="V80" t="s">
        <v>23</v>
      </c>
    </row>
    <row r="81" spans="1:22" x14ac:dyDescent="0.25">
      <c r="A81" t="s">
        <v>24</v>
      </c>
      <c r="B81">
        <v>0</v>
      </c>
      <c r="C81">
        <v>558</v>
      </c>
      <c r="D81">
        <v>3</v>
      </c>
      <c r="E81" t="s">
        <v>20</v>
      </c>
      <c r="F81">
        <v>25602821222</v>
      </c>
      <c r="G81" t="str">
        <f>DEC2HEX(F81)</f>
        <v>5F60C0C66</v>
      </c>
      <c r="H81" t="str">
        <f t="shared" si="0"/>
        <v>17D83031</v>
      </c>
      <c r="I81">
        <f>HEX2DEC(H81)</f>
        <v>400044081</v>
      </c>
      <c r="J81" t="s">
        <v>21</v>
      </c>
      <c r="K81" t="s">
        <v>22</v>
      </c>
      <c r="L81">
        <v>1789.1229000000001</v>
      </c>
      <c r="M81">
        <v>-3415.7561999999998</v>
      </c>
      <c r="N81">
        <v>1989.1229000000001</v>
      </c>
      <c r="O81">
        <v>-3415.7561999999998</v>
      </c>
      <c r="P81">
        <v>39.200319</v>
      </c>
      <c r="Q81">
        <v>-77.260087999999996</v>
      </c>
      <c r="R81">
        <v>39.200319</v>
      </c>
      <c r="S81">
        <v>-77.257763999999995</v>
      </c>
      <c r="T81">
        <v>8.6</v>
      </c>
      <c r="U81">
        <v>19</v>
      </c>
      <c r="V81" t="s">
        <v>23</v>
      </c>
    </row>
    <row r="82" spans="1:22" x14ac:dyDescent="0.25">
      <c r="A82" t="s">
        <v>24</v>
      </c>
      <c r="B82">
        <v>0</v>
      </c>
      <c r="C82">
        <v>558</v>
      </c>
      <c r="D82">
        <v>1</v>
      </c>
      <c r="E82" t="s">
        <v>20</v>
      </c>
      <c r="F82">
        <v>25602821222</v>
      </c>
      <c r="G82" t="str">
        <f>DEC2HEX(F82)</f>
        <v>5F60C0C66</v>
      </c>
      <c r="H82" t="str">
        <f t="shared" si="0"/>
        <v>17D83031</v>
      </c>
      <c r="I82">
        <f>HEX2DEC(H82)</f>
        <v>400044081</v>
      </c>
      <c r="J82" t="s">
        <v>21</v>
      </c>
      <c r="K82" t="s">
        <v>22</v>
      </c>
      <c r="L82">
        <v>2088.0335</v>
      </c>
      <c r="M82">
        <v>-3616.7831999999999</v>
      </c>
      <c r="N82">
        <v>2188.0335</v>
      </c>
      <c r="O82">
        <v>-3616.7831999999999</v>
      </c>
      <c r="P82">
        <v>39.199727000000003</v>
      </c>
      <c r="Q82">
        <v>-77.261278000000004</v>
      </c>
      <c r="R82">
        <v>39.199727000000003</v>
      </c>
      <c r="S82">
        <v>-77.260115999999996</v>
      </c>
      <c r="T82">
        <v>9.91</v>
      </c>
      <c r="U82">
        <v>21</v>
      </c>
      <c r="V82" t="s">
        <v>23</v>
      </c>
    </row>
    <row r="83" spans="1:22" x14ac:dyDescent="0.25">
      <c r="A83" t="s">
        <v>24</v>
      </c>
      <c r="B83">
        <v>0</v>
      </c>
      <c r="C83">
        <v>558</v>
      </c>
      <c r="D83">
        <v>5</v>
      </c>
      <c r="E83" t="s">
        <v>20</v>
      </c>
      <c r="F83">
        <v>25602821222</v>
      </c>
      <c r="G83" t="str">
        <f>DEC2HEX(F83)</f>
        <v>5F60C0C66</v>
      </c>
      <c r="H83" t="str">
        <f t="shared" si="0"/>
        <v>17D83031</v>
      </c>
      <c r="I83">
        <f>HEX2DEC(H83)</f>
        <v>400044081</v>
      </c>
      <c r="J83" t="s">
        <v>21</v>
      </c>
      <c r="K83" t="s">
        <v>22</v>
      </c>
      <c r="L83">
        <v>580.24360000000001</v>
      </c>
      <c r="M83">
        <v>-684.97349999999994</v>
      </c>
      <c r="N83">
        <v>380.24360000000001</v>
      </c>
      <c r="O83">
        <v>-684.97349999999994</v>
      </c>
      <c r="P83">
        <v>39.198118999999998</v>
      </c>
      <c r="Q83">
        <v>-77.263925999999998</v>
      </c>
      <c r="R83">
        <v>39.198118999999998</v>
      </c>
      <c r="S83">
        <v>-77.266249000000002</v>
      </c>
      <c r="T83">
        <v>15.21</v>
      </c>
      <c r="U83">
        <v>8</v>
      </c>
      <c r="V83" t="s">
        <v>23</v>
      </c>
    </row>
    <row r="84" spans="1:22" x14ac:dyDescent="0.25">
      <c r="A84" t="s">
        <v>24</v>
      </c>
      <c r="B84">
        <v>0</v>
      </c>
      <c r="C84">
        <v>558</v>
      </c>
      <c r="D84">
        <v>4</v>
      </c>
      <c r="E84" t="s">
        <v>20</v>
      </c>
      <c r="F84">
        <v>25602821222</v>
      </c>
      <c r="G84" t="str">
        <f>DEC2HEX(F84)</f>
        <v>5F60C0C66</v>
      </c>
      <c r="H84" t="str">
        <f t="shared" si="0"/>
        <v>17D83031</v>
      </c>
      <c r="I84">
        <f>HEX2DEC(H84)</f>
        <v>400044081</v>
      </c>
      <c r="J84" t="s">
        <v>21</v>
      </c>
      <c r="K84" t="s">
        <v>22</v>
      </c>
      <c r="L84">
        <v>374.43900000000002</v>
      </c>
      <c r="M84">
        <v>-451.0641</v>
      </c>
      <c r="N84">
        <v>774.43899999999996</v>
      </c>
      <c r="O84">
        <v>-451.0641</v>
      </c>
      <c r="P84">
        <v>39.199460000000002</v>
      </c>
      <c r="Q84">
        <v>-77.265344999999996</v>
      </c>
      <c r="R84">
        <v>39.199460000000002</v>
      </c>
      <c r="S84">
        <v>-77.260700999999997</v>
      </c>
      <c r="T84">
        <v>16.73</v>
      </c>
      <c r="U84">
        <v>22</v>
      </c>
      <c r="V84" t="s">
        <v>23</v>
      </c>
    </row>
    <row r="85" spans="1:22" x14ac:dyDescent="0.25">
      <c r="A85" t="s">
        <v>24</v>
      </c>
      <c r="B85">
        <v>0</v>
      </c>
      <c r="C85">
        <v>558</v>
      </c>
      <c r="D85">
        <v>2</v>
      </c>
      <c r="E85" t="s">
        <v>20</v>
      </c>
      <c r="F85">
        <v>25602821222</v>
      </c>
      <c r="G85" t="str">
        <f>DEC2HEX(F85)</f>
        <v>5F60C0C66</v>
      </c>
      <c r="H85" t="str">
        <f t="shared" si="0"/>
        <v>17D83031</v>
      </c>
      <c r="I85">
        <f>HEX2DEC(H85)</f>
        <v>400044081</v>
      </c>
      <c r="J85" t="s">
        <v>21</v>
      </c>
      <c r="K85" t="s">
        <v>22</v>
      </c>
      <c r="L85">
        <v>365.6284</v>
      </c>
      <c r="M85">
        <v>-420.3503</v>
      </c>
      <c r="N85">
        <v>365.6284</v>
      </c>
      <c r="O85">
        <v>-520.35029999999995</v>
      </c>
      <c r="P85">
        <v>39.199399</v>
      </c>
      <c r="Q85">
        <v>-77.265030999999993</v>
      </c>
      <c r="R85">
        <v>39.198498999999998</v>
      </c>
      <c r="S85">
        <v>-77.265030999999993</v>
      </c>
      <c r="T85">
        <v>5.96</v>
      </c>
      <c r="U85">
        <v>21</v>
      </c>
      <c r="V85" t="s">
        <v>23</v>
      </c>
    </row>
    <row r="86" spans="1:22" x14ac:dyDescent="0.25">
      <c r="A86" t="s">
        <v>24</v>
      </c>
      <c r="B86">
        <v>658080</v>
      </c>
      <c r="C86">
        <v>77</v>
      </c>
      <c r="D86">
        <v>0</v>
      </c>
      <c r="E86" t="s">
        <v>20</v>
      </c>
      <c r="F86">
        <v>25693970463</v>
      </c>
      <c r="G86" t="str">
        <f>DEC2HEX(F86)</f>
        <v>5FB7AE01F</v>
      </c>
      <c r="H86" t="str">
        <f t="shared" si="0"/>
        <v>17EDEB80</v>
      </c>
      <c r="I86">
        <f>HEX2DEC(H86)</f>
        <v>401468288</v>
      </c>
      <c r="J86" t="s">
        <v>21</v>
      </c>
      <c r="K86" t="s">
        <v>22</v>
      </c>
      <c r="L86">
        <v>298.42700000000002</v>
      </c>
      <c r="M86">
        <v>-1322.4331999999999</v>
      </c>
      <c r="N86">
        <v>898.42700000000002</v>
      </c>
      <c r="O86">
        <v>-1922.4331999999999</v>
      </c>
      <c r="P86">
        <v>39.219566</v>
      </c>
      <c r="Q86">
        <v>-77.277638999999994</v>
      </c>
      <c r="R86">
        <v>39.214167000000003</v>
      </c>
      <c r="S86">
        <v>-77.270669999999996</v>
      </c>
      <c r="T86">
        <v>5.68</v>
      </c>
      <c r="U86">
        <v>14</v>
      </c>
      <c r="V86" t="s">
        <v>23</v>
      </c>
    </row>
    <row r="87" spans="1:22" x14ac:dyDescent="0.25">
      <c r="A87" t="s">
        <v>24</v>
      </c>
      <c r="B87">
        <v>0</v>
      </c>
      <c r="C87">
        <v>77</v>
      </c>
      <c r="D87">
        <v>0</v>
      </c>
      <c r="E87" t="s">
        <v>20</v>
      </c>
      <c r="F87">
        <v>25693970463</v>
      </c>
      <c r="G87" t="str">
        <f>DEC2HEX(F87)</f>
        <v>5FB7AE01F</v>
      </c>
      <c r="H87" t="str">
        <f t="shared" si="0"/>
        <v>17EDEB80</v>
      </c>
      <c r="I87">
        <f>HEX2DEC(H87)</f>
        <v>401468288</v>
      </c>
      <c r="J87" t="s">
        <v>21</v>
      </c>
      <c r="K87" t="s">
        <v>22</v>
      </c>
      <c r="L87">
        <v>991.74400000000003</v>
      </c>
      <c r="M87">
        <v>-1049.3063</v>
      </c>
      <c r="N87">
        <v>1591.7439999999999</v>
      </c>
      <c r="O87">
        <v>-1649.3063</v>
      </c>
      <c r="P87">
        <v>39.222006</v>
      </c>
      <c r="Q87">
        <v>-77.269568000000007</v>
      </c>
      <c r="R87">
        <v>39.216607000000003</v>
      </c>
      <c r="S87">
        <v>-77.262597999999997</v>
      </c>
      <c r="T87">
        <v>6.43</v>
      </c>
      <c r="U87">
        <v>9</v>
      </c>
      <c r="V87" t="s">
        <v>23</v>
      </c>
    </row>
    <row r="88" spans="1:22" x14ac:dyDescent="0.25">
      <c r="A88" t="s">
        <v>24</v>
      </c>
      <c r="B88">
        <v>658080</v>
      </c>
      <c r="C88">
        <v>856</v>
      </c>
      <c r="D88">
        <v>0</v>
      </c>
      <c r="E88" t="s">
        <v>20</v>
      </c>
      <c r="F88">
        <v>25694473248</v>
      </c>
      <c r="G88" t="str">
        <f>DEC2HEX(F88)</f>
        <v>5FB828C20</v>
      </c>
      <c r="H88" t="str">
        <f t="shared" si="0"/>
        <v>17EE0A30</v>
      </c>
      <c r="I88">
        <f>HEX2DEC(H88)</f>
        <v>401476144</v>
      </c>
      <c r="J88" t="s">
        <v>21</v>
      </c>
      <c r="K88" t="s">
        <v>22</v>
      </c>
      <c r="L88">
        <v>198.5951</v>
      </c>
      <c r="M88">
        <v>-3158.2961</v>
      </c>
      <c r="N88">
        <v>398.5951</v>
      </c>
      <c r="O88">
        <v>-3058.2961</v>
      </c>
      <c r="P88">
        <v>39.202624</v>
      </c>
      <c r="Q88">
        <v>-77.282419000000004</v>
      </c>
      <c r="R88">
        <v>39.203524000000002</v>
      </c>
      <c r="S88">
        <v>-77.280096</v>
      </c>
      <c r="T88">
        <v>12</v>
      </c>
      <c r="U88">
        <v>31</v>
      </c>
      <c r="V88" t="s">
        <v>23</v>
      </c>
    </row>
    <row r="89" spans="1:22" x14ac:dyDescent="0.25">
      <c r="A89" t="s">
        <v>24</v>
      </c>
      <c r="B89">
        <v>658080</v>
      </c>
      <c r="C89">
        <v>178</v>
      </c>
      <c r="D89">
        <v>0</v>
      </c>
      <c r="E89" t="s">
        <v>20</v>
      </c>
      <c r="F89">
        <v>25694473272</v>
      </c>
      <c r="G89" t="str">
        <f>DEC2HEX(F89)</f>
        <v>5FB828C38</v>
      </c>
      <c r="H89" t="str">
        <f t="shared" si="0"/>
        <v>17EE0A30</v>
      </c>
      <c r="I89">
        <f>HEX2DEC(H89)</f>
        <v>401476144</v>
      </c>
      <c r="J89" t="s">
        <v>21</v>
      </c>
      <c r="K89" t="s">
        <v>22</v>
      </c>
      <c r="L89">
        <v>440.38549999999998</v>
      </c>
      <c r="M89">
        <v>-84.422600000000003</v>
      </c>
      <c r="N89">
        <v>40.3855</v>
      </c>
      <c r="O89">
        <v>115.5774</v>
      </c>
      <c r="P89">
        <v>39.209423000000001</v>
      </c>
      <c r="Q89">
        <v>-77.270720999999995</v>
      </c>
      <c r="R89">
        <v>39.211222999999997</v>
      </c>
      <c r="S89">
        <v>-77.275366000000005</v>
      </c>
      <c r="T89">
        <v>10.01</v>
      </c>
      <c r="U89">
        <v>46</v>
      </c>
      <c r="V89" t="s">
        <v>23</v>
      </c>
    </row>
    <row r="90" spans="1:22" x14ac:dyDescent="0.25">
      <c r="A90" t="s">
        <v>24</v>
      </c>
      <c r="B90">
        <v>658080</v>
      </c>
      <c r="C90">
        <v>395</v>
      </c>
      <c r="D90">
        <v>0</v>
      </c>
      <c r="E90" t="s">
        <v>20</v>
      </c>
      <c r="F90">
        <v>25694473297</v>
      </c>
      <c r="G90" t="str">
        <f>DEC2HEX(F90)</f>
        <v>5FB828C51</v>
      </c>
      <c r="H90" t="str">
        <f t="shared" si="0"/>
        <v>17EE0A31</v>
      </c>
      <c r="I90">
        <f>HEX2DEC(H90)</f>
        <v>401476145</v>
      </c>
      <c r="J90" t="s">
        <v>21</v>
      </c>
      <c r="K90" t="s">
        <v>22</v>
      </c>
      <c r="L90">
        <v>-14.6494</v>
      </c>
      <c r="M90">
        <v>-609.16409999999996</v>
      </c>
      <c r="N90">
        <v>285.35059999999999</v>
      </c>
      <c r="O90">
        <v>-1209.1641</v>
      </c>
      <c r="P90">
        <v>39.219551000000003</v>
      </c>
      <c r="Q90">
        <v>-77.281605999999996</v>
      </c>
      <c r="R90">
        <v>39.214151999999999</v>
      </c>
      <c r="S90">
        <v>-77.278121999999996</v>
      </c>
      <c r="T90">
        <v>12.95</v>
      </c>
      <c r="U90">
        <v>22</v>
      </c>
      <c r="V90" t="s">
        <v>23</v>
      </c>
    </row>
    <row r="91" spans="1:22" x14ac:dyDescent="0.25">
      <c r="A91" t="s">
        <v>24</v>
      </c>
      <c r="B91">
        <v>0</v>
      </c>
      <c r="C91">
        <v>856</v>
      </c>
      <c r="D91">
        <v>0</v>
      </c>
      <c r="E91" t="s">
        <v>20</v>
      </c>
      <c r="F91">
        <v>25694473248</v>
      </c>
      <c r="G91" t="str">
        <f>DEC2HEX(F91)</f>
        <v>5FB828C20</v>
      </c>
      <c r="H91" t="str">
        <f t="shared" si="0"/>
        <v>17EE0A30</v>
      </c>
      <c r="I91">
        <f>HEX2DEC(H91)</f>
        <v>401476144</v>
      </c>
      <c r="J91" t="s">
        <v>21</v>
      </c>
      <c r="K91" t="s">
        <v>22</v>
      </c>
      <c r="L91">
        <v>868.12369999999999</v>
      </c>
      <c r="M91">
        <v>-1680.7139</v>
      </c>
      <c r="N91">
        <v>868.12369999999999</v>
      </c>
      <c r="O91">
        <v>-1780.7139</v>
      </c>
      <c r="P91">
        <v>39.215209999999999</v>
      </c>
      <c r="Q91">
        <v>-77.274214999999998</v>
      </c>
      <c r="R91">
        <v>39.214311000000002</v>
      </c>
      <c r="S91">
        <v>-77.274214999999998</v>
      </c>
      <c r="T91">
        <v>11.58</v>
      </c>
      <c r="U91">
        <v>33</v>
      </c>
      <c r="V91" t="s">
        <v>23</v>
      </c>
    </row>
    <row r="92" spans="1:22" x14ac:dyDescent="0.25">
      <c r="A92" t="s">
        <v>24</v>
      </c>
      <c r="B92">
        <v>0</v>
      </c>
      <c r="C92">
        <v>178</v>
      </c>
      <c r="D92">
        <v>0</v>
      </c>
      <c r="E92" t="s">
        <v>20</v>
      </c>
      <c r="F92">
        <v>25694473272</v>
      </c>
      <c r="G92" t="str">
        <f>DEC2HEX(F92)</f>
        <v>5FB828C38</v>
      </c>
      <c r="H92" t="str">
        <f t="shared" si="0"/>
        <v>17EE0A30</v>
      </c>
      <c r="I92">
        <f>HEX2DEC(H92)</f>
        <v>401476144</v>
      </c>
      <c r="J92" t="s">
        <v>21</v>
      </c>
      <c r="K92" t="s">
        <v>22</v>
      </c>
      <c r="L92">
        <v>190.89019999999999</v>
      </c>
      <c r="M92">
        <v>247.47839999999999</v>
      </c>
      <c r="N92">
        <v>-109.10980000000001</v>
      </c>
      <c r="O92">
        <v>247.47839999999999</v>
      </c>
      <c r="P92">
        <v>39.210842</v>
      </c>
      <c r="Q92">
        <v>-77.272696999999994</v>
      </c>
      <c r="R92">
        <v>39.210842</v>
      </c>
      <c r="S92">
        <v>-77.276180999999994</v>
      </c>
      <c r="T92">
        <v>9.26</v>
      </c>
      <c r="U92">
        <v>48</v>
      </c>
      <c r="V92" t="s">
        <v>23</v>
      </c>
    </row>
    <row r="93" spans="1:22" x14ac:dyDescent="0.25">
      <c r="A93" t="s">
        <v>24</v>
      </c>
      <c r="B93">
        <v>0</v>
      </c>
      <c r="C93">
        <v>395</v>
      </c>
      <c r="D93">
        <v>0</v>
      </c>
      <c r="E93" t="s">
        <v>20</v>
      </c>
      <c r="F93">
        <v>25694473297</v>
      </c>
      <c r="G93" t="str">
        <f>DEC2HEX(F93)</f>
        <v>5FB828C51</v>
      </c>
      <c r="H93" t="str">
        <f t="shared" si="0"/>
        <v>17EE0A31</v>
      </c>
      <c r="I93">
        <f>HEX2DEC(H93)</f>
        <v>401476145</v>
      </c>
      <c r="J93" t="s">
        <v>21</v>
      </c>
      <c r="K93" t="s">
        <v>22</v>
      </c>
      <c r="L93">
        <v>-164.9931</v>
      </c>
      <c r="M93">
        <v>-730.96360000000004</v>
      </c>
      <c r="N93">
        <v>335.00689999999997</v>
      </c>
      <c r="O93">
        <v>-1330.9636</v>
      </c>
      <c r="P93">
        <v>39.221304000000003</v>
      </c>
      <c r="Q93">
        <v>-77.284758999999994</v>
      </c>
      <c r="R93">
        <v>39.215904999999999</v>
      </c>
      <c r="S93">
        <v>-77.278952000000004</v>
      </c>
      <c r="T93">
        <v>11.96</v>
      </c>
      <c r="U93">
        <v>29</v>
      </c>
      <c r="V93" t="s">
        <v>23</v>
      </c>
    </row>
    <row r="94" spans="1:22" x14ac:dyDescent="0.25">
      <c r="A94" t="s">
        <v>24</v>
      </c>
      <c r="B94">
        <v>632736</v>
      </c>
      <c r="C94">
        <v>376</v>
      </c>
      <c r="D94">
        <v>0</v>
      </c>
      <c r="E94" t="s">
        <v>20</v>
      </c>
      <c r="F94">
        <v>25796176946</v>
      </c>
      <c r="G94" t="str">
        <f>DEC2HEX(F94)</f>
        <v>601926C32</v>
      </c>
      <c r="H94" t="str">
        <f t="shared" si="0"/>
        <v>180649B0</v>
      </c>
      <c r="I94">
        <f>HEX2DEC(H94)</f>
        <v>403065264</v>
      </c>
      <c r="J94" t="s">
        <v>21</v>
      </c>
      <c r="K94" t="s">
        <v>22</v>
      </c>
      <c r="L94">
        <v>1577.3892000000001</v>
      </c>
      <c r="M94">
        <v>-1052.0192999999999</v>
      </c>
      <c r="N94">
        <v>2177.3892000000001</v>
      </c>
      <c r="O94">
        <v>-452.01929999999999</v>
      </c>
      <c r="P94">
        <v>39.175814000000003</v>
      </c>
      <c r="Q94">
        <v>-77.239086</v>
      </c>
      <c r="R94">
        <v>39.181213</v>
      </c>
      <c r="S94">
        <v>-77.232121000000006</v>
      </c>
      <c r="T94">
        <v>5.04</v>
      </c>
      <c r="U94">
        <v>11</v>
      </c>
      <c r="V94" t="s">
        <v>23</v>
      </c>
    </row>
    <row r="95" spans="1:22" x14ac:dyDescent="0.25">
      <c r="A95" t="s">
        <v>24</v>
      </c>
      <c r="B95">
        <v>630720</v>
      </c>
      <c r="C95">
        <v>275</v>
      </c>
      <c r="D95">
        <v>4</v>
      </c>
      <c r="E95" t="s">
        <v>20</v>
      </c>
      <c r="F95">
        <v>25907866678</v>
      </c>
      <c r="G95" t="str">
        <f>DEC2HEX(F95)</f>
        <v>6083AAC36</v>
      </c>
      <c r="H95" t="str">
        <f t="shared" si="0"/>
        <v>1820EAB0</v>
      </c>
      <c r="I95">
        <f>HEX2DEC(H95)</f>
        <v>404810416</v>
      </c>
      <c r="J95" t="s">
        <v>21</v>
      </c>
      <c r="K95" t="s">
        <v>22</v>
      </c>
      <c r="L95">
        <v>-1147.5835</v>
      </c>
      <c r="M95">
        <v>638.54399999999998</v>
      </c>
      <c r="N95">
        <v>-1247.5835</v>
      </c>
      <c r="O95">
        <v>238.54400000000001</v>
      </c>
      <c r="P95">
        <v>39.189768999999998</v>
      </c>
      <c r="Q95">
        <v>-77.268493000000007</v>
      </c>
      <c r="R95">
        <v>39.186169999999997</v>
      </c>
      <c r="S95">
        <v>-77.269654000000003</v>
      </c>
      <c r="T95">
        <v>5.84</v>
      </c>
      <c r="U95">
        <v>10</v>
      </c>
      <c r="V95" t="s">
        <v>23</v>
      </c>
    </row>
    <row r="96" spans="1:22" x14ac:dyDescent="0.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e">
        <f>DEC2HEX(F96)</f>
        <v>#VALUE!</v>
      </c>
      <c r="H96" t="e">
        <f t="shared" si="0"/>
        <v>#VALUE!</v>
      </c>
      <c r="I96" t="e">
        <f>HEX2DEC(H96)</f>
        <v>#VALUE!</v>
      </c>
      <c r="J96" t="s">
        <v>31</v>
      </c>
      <c r="K96" t="s">
        <v>32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39.213037999999997</v>
      </c>
      <c r="S96">
        <v>-77.274505000000005</v>
      </c>
      <c r="T96">
        <v>0</v>
      </c>
      <c r="U96">
        <v>11</v>
      </c>
      <c r="V96">
        <v>0</v>
      </c>
    </row>
    <row r="97" spans="1:22" x14ac:dyDescent="0.25">
      <c r="A97" t="s">
        <v>33</v>
      </c>
      <c r="B97" t="s">
        <v>34</v>
      </c>
      <c r="C97" t="s">
        <v>35</v>
      </c>
      <c r="D97" t="s">
        <v>36</v>
      </c>
      <c r="E97" t="s">
        <v>29</v>
      </c>
      <c r="F97" t="s">
        <v>37</v>
      </c>
      <c r="G97" t="e">
        <f>DEC2HEX(F97)</f>
        <v>#VALUE!</v>
      </c>
      <c r="H97" t="e">
        <f t="shared" si="0"/>
        <v>#VALUE!</v>
      </c>
      <c r="I97" t="e">
        <f>HEX2DEC(H97)</f>
        <v>#VALUE!</v>
      </c>
      <c r="J97" t="s">
        <v>38</v>
      </c>
      <c r="K97" t="s">
        <v>39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39.229219000000001</v>
      </c>
      <c r="S97">
        <v>-77.286004000000005</v>
      </c>
      <c r="T97">
        <v>0</v>
      </c>
      <c r="U97">
        <v>9</v>
      </c>
      <c r="V97">
        <v>0</v>
      </c>
    </row>
    <row r="98" spans="1:22" x14ac:dyDescent="0.25">
      <c r="A98" t="s">
        <v>40</v>
      </c>
      <c r="B98" t="s">
        <v>41</v>
      </c>
      <c r="C98" t="s">
        <v>42</v>
      </c>
      <c r="D98" t="s">
        <v>43</v>
      </c>
      <c r="E98" t="s">
        <v>29</v>
      </c>
      <c r="F98" t="s">
        <v>44</v>
      </c>
      <c r="G98" t="e">
        <f>DEC2HEX(F98)</f>
        <v>#VALUE!</v>
      </c>
      <c r="H98" t="e">
        <f t="shared" si="0"/>
        <v>#VALUE!</v>
      </c>
      <c r="I98" t="e">
        <f>HEX2DEC(H98)</f>
        <v>#VALUE!</v>
      </c>
      <c r="J98" t="s">
        <v>45</v>
      </c>
      <c r="K98" t="s">
        <v>46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39.200125</v>
      </c>
      <c r="S98">
        <v>-77.259341000000006</v>
      </c>
      <c r="T98">
        <v>0</v>
      </c>
      <c r="U98">
        <v>46</v>
      </c>
      <c r="V98">
        <v>0</v>
      </c>
    </row>
    <row r="99" spans="1:22" x14ac:dyDescent="0.25">
      <c r="A99" t="s">
        <v>47</v>
      </c>
      <c r="B99" t="s">
        <v>48</v>
      </c>
      <c r="C99" t="s">
        <v>49</v>
      </c>
      <c r="D99" t="s">
        <v>50</v>
      </c>
      <c r="E99" t="s">
        <v>29</v>
      </c>
      <c r="F99" t="s">
        <v>51</v>
      </c>
      <c r="G99" t="e">
        <f>DEC2HEX(F99)</f>
        <v>#VALUE!</v>
      </c>
      <c r="H99" t="e">
        <f t="shared" si="0"/>
        <v>#VALUE!</v>
      </c>
      <c r="I99" t="e">
        <f>HEX2DEC(H99)</f>
        <v>#VALUE!</v>
      </c>
      <c r="J99" t="s">
        <v>52</v>
      </c>
      <c r="K99" t="s">
        <v>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39.184483</v>
      </c>
      <c r="S99">
        <v>-77.256315999999998</v>
      </c>
      <c r="T99">
        <v>0</v>
      </c>
      <c r="U99">
        <v>4</v>
      </c>
      <c r="V99">
        <v>0</v>
      </c>
    </row>
  </sheetData>
  <sortState xmlns:xlrd2="http://schemas.microsoft.com/office/spreadsheetml/2017/richdata2" ref="A2:V99">
    <sortCondition ref="I2:I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ALL_Estimate_mnc_410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Soltanian</dc:creator>
  <cp:lastModifiedBy>Amir Soltanian</cp:lastModifiedBy>
  <dcterms:created xsi:type="dcterms:W3CDTF">2025-11-05T22:06:04Z</dcterms:created>
  <dcterms:modified xsi:type="dcterms:W3CDTF">2025-11-05T22:06:04Z</dcterms:modified>
</cp:coreProperties>
</file>